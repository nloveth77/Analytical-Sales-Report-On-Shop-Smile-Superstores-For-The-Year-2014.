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EEC6FB06-FAC5-4B7C-B528-B0A3928859ED}" xr6:coauthVersionLast="47" xr6:coauthVersionMax="47" xr10:uidLastSave="{00000000-0000-0000-0000-000000000000}"/>
  <bookViews>
    <workbookView xWindow="-120" yWindow="-120" windowWidth="20730" windowHeight="11040" firstSheet="14" activeTab="14" xr2:uid="{00000000-000D-0000-FFFF-FFFF00000000}"/>
  </bookViews>
  <sheets>
    <sheet name="Task" sheetId="15" r:id="rId1"/>
    <sheet name="Top 10 Customers" sheetId="38" r:id="rId2"/>
    <sheet name="Salesperson performance" sheetId="39" r:id="rId3"/>
    <sheet name="Regional performance" sheetId="42" r:id="rId4"/>
    <sheet name="Sales By Product Category" sheetId="45" r:id="rId5"/>
    <sheet name="Sales Trend Report" sheetId="47" r:id="rId6"/>
    <sheet name="Transaction By Amount" sheetId="48" r:id="rId7"/>
    <sheet name="Performance by States" sheetId="49" r:id="rId8"/>
    <sheet name="Top Cities by Revenue" sheetId="62" r:id="rId9"/>
    <sheet name="Top 6 Ship Cities by Revenue " sheetId="64" r:id="rId10"/>
    <sheet name="Data (3)" sheetId="27" r:id="rId11"/>
    <sheet name="Pre-Analysis Board" sheetId="18" r:id="rId12"/>
    <sheet name="In-Analysis Board" sheetId="21" r:id="rId13"/>
    <sheet name="Pivot Table Diagram" sheetId="4" r:id="rId14"/>
    <sheet name="Dashboard" sheetId="68" r:id="rId15"/>
    <sheet name="Post-Analysis Observations" sheetId="69" r:id="rId16"/>
    <sheet name="Post-Analysis Recommendations" sheetId="71" r:id="rId17"/>
  </sheets>
  <definedNames>
    <definedName name="_xlnm._FilterDatabase" localSheetId="10" hidden="1">'Data (3)'!$A$1:$Z$370</definedName>
    <definedName name="_xlnm._FilterDatabase" localSheetId="7" hidden="1">'Performance by States'!$D$3:$E$15</definedName>
    <definedName name="_xlchart.v5.0" hidden="1">'Performance by States'!$D$3</definedName>
    <definedName name="_xlchart.v5.1" hidden="1">'Performance by States'!$D$4:$D$15</definedName>
    <definedName name="_xlchart.v5.2" hidden="1">'Performance by States'!$E$3</definedName>
    <definedName name="_xlchart.v5.3" hidden="1">'Performance by States'!$E$4:$E$15</definedName>
    <definedName name="_xlchart.v5.4" hidden="1">'Performance by States'!$D$3</definedName>
    <definedName name="_xlchart.v5.5" hidden="1">'Performance by States'!$D$4:$D$15</definedName>
    <definedName name="_xlchart.v5.6" hidden="1">'Performance by States'!$E$3</definedName>
    <definedName name="_xlchart.v5.7" hidden="1">'Performance by States'!$E$4:$E$15</definedName>
    <definedName name="Slicer_Customer_Name">#N/A</definedName>
    <definedName name="Slicer_Product_Name">#N/A</definedName>
    <definedName name="Slicer_Region">#N/A</definedName>
    <definedName name="Slicer_Salesperson">#N/A</definedName>
  </definedNames>
  <calcPr calcId="191029" iterate="1"/>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<sst xmlns="http://schemas.openxmlformats.org/spreadsheetml/2006/main" count="5917" uniqueCount="192">
  <si>
    <t>DATA ANALYST TASK LIST</t>
  </si>
  <si>
    <t>Analyze the sales data for 2014 and provide report for capturing the items listed below. An excellent report would aid management make strategic decisions for the coming year.</t>
  </si>
  <si>
    <t>Sales trend report</t>
  </si>
  <si>
    <t>Top 10 customers</t>
  </si>
  <si>
    <t>Sales by Rep</t>
  </si>
  <si>
    <t>Sales by Region</t>
  </si>
  <si>
    <t>Transaction by Amount.</t>
  </si>
  <si>
    <t xml:space="preserve">Sales By Product category </t>
  </si>
  <si>
    <t xml:space="preserve">Top 6 ship cities by revenue </t>
  </si>
  <si>
    <t xml:space="preserve">Top 5 cities By revenue </t>
  </si>
  <si>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</si>
  <si>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</si>
  <si>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</si>
  <si>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</si>
  <si>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</si>
  <si>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</si>
  <si>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</si>
  <si>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</si>
  <si>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</si>
  <si>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</si>
  <si>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</si>
  <si>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</si>
  <si>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</si>
  <si>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</si>
  <si>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</si>
  <si>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</si>
  <si>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</si>
  <si>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</si>
  <si>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</si>
  <si>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</si>
  <si>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</si>
  <si>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</si>
  <si>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</si>
  <si>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</si>
  <si>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</si>
  <si>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</si>
  <si>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</si>
  <si>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</si>
  <si>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</si>
  <si>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</si>
  <si>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</si>
  <si>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</si>
  <si>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</si>
  <si>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</si>
  <si>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</si>
  <si>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</si>
  <si>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</si>
  <si>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</si>
  <si>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</si>
  <si>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</si>
  <si>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</si>
  <si>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</si>
  <si>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</si>
  <si>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</si>
  <si>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</si>
  <si>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</si>
  <si>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</si>
  <si>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</si>
  <si>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</si>
  <si>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</si>
  <si>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</si>
  <si>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</si>
  <si>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</si>
  <si>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</si>
  <si>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</si>
  <si>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</si>
  <si>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</si>
  <si>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</si>
  <si>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</si>
  <si>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</si>
  <si>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</si>
  <si>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</si>
  <si>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</si>
  <si>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</si>
  <si>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</si>
  <si>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</si>
  <si>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</si>
  <si>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</si>
  <si>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</si>
  <si>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</si>
  <si>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</si>
  <si>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</si>
  <si>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</si>
  <si>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</si>
  <si>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</si>
  <si>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</si>
  <si>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</si>
  <si>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</si>
  <si>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</si>
  <si>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</si>
  <si>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</si>
  <si>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</si>
  <si>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</si>
  <si>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</si>
  <si>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</si>
  <si>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</si>
  <si>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</si>
  <si>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</si>
  <si>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</si>
  <si>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</si>
  <si>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</si>
  <si>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</si>
  <si>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</si>
  <si>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</si>
  <si>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</si>
  <si>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</si>
  <si>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</si>
  <si>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</si>
  <si>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</si>
  <si>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</si>
  <si>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</si>
  <si>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</si>
  <si>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</si>
  <si>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</si>
  <si>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</si>
  <si>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</si>
  <si>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</si>
  <si>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</si>
  <si>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</si>
  <si>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</si>
  <si>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</si>
  <si>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</si>
  <si>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</si>
  <si>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</si>
  <si>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</si>
  <si>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</si>
  <si>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</si>
  <si>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</si>
  <si>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</si>
  <si>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</si>
  <si>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</si>
  <si>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</si>
  <si>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</si>
  <si>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</si>
  <si>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</si>
  <si>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</si>
  <si>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</si>
  <si>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</si>
  <si>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</si>
  <si>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</si>
  <si>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</si>
  <si>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</si>
  <si>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</si>
  <si>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</si>
  <si>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</si>
  <si>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</si>
  <si>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 xml:space="preserve">Shipping Fee </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</si>
  <si>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</si>
  <si>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</si>
  <si>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</si>
  <si>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</si>
  <si>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</si>
  <si>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</si>
  <si>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</si>
  <si>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</si>
  <si>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</si>
  <si>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</si>
  <si>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</si>
  <si>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</si>
  <si>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</si>
  <si>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</si>
  <si>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</si>
  <si>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</si>
  <si>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Article:</t>
  </si>
  <si>
    <t>How Do Pivot Tables Work?</t>
  </si>
  <si>
    <t>Source:</t>
  </si>
  <si>
    <t>http://www.excelcampus.com/pivot-tables/pivot-tables-work/</t>
  </si>
  <si>
    <t>Row Labels</t>
  </si>
  <si>
    <t>Grand Total</t>
  </si>
  <si>
    <t>Sum of Revenue</t>
  </si>
  <si>
    <t>Jan</t>
  </si>
  <si>
    <t>Feb</t>
  </si>
  <si>
    <t>Mar</t>
  </si>
  <si>
    <t>Apr</t>
  </si>
  <si>
    <t>May</t>
  </si>
  <si>
    <t>Jun</t>
  </si>
  <si>
    <t>Jul</t>
  </si>
  <si>
    <t>Aug</t>
  </si>
  <si>
    <t>Sep</t>
  </si>
  <si>
    <t>Oct</t>
  </si>
  <si>
    <t>Nov</t>
  </si>
  <si>
    <t>Dec</t>
  </si>
  <si>
    <t>0-1000</t>
  </si>
  <si>
    <t>1000-2000</t>
  </si>
  <si>
    <t>2000-3000</t>
  </si>
  <si>
    <t>3000-4000</t>
  </si>
  <si>
    <t>Count of Revenue</t>
  </si>
  <si>
    <t>Performance by States</t>
  </si>
  <si>
    <t>States</t>
  </si>
  <si>
    <t>4000-5000</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</si>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</sst>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m/dd/yy;@"/>
    <numFmt numFmtId="166" formatCode="&quot;$&quot;#,##0.00"/>
    <numFmt numFmtId="167" formatCode="[$$-409]#,##0.00"/>
  </numFmts>
  <fonts count="7">
    <font>
      <sz val="11"/>
      <color theme="1"/>
      <name val="Calibri"/>
      <charset val="134"/>
      <scheme val="minor"/>
    </font>
    <font>
      <b/>
      <sz val="11"/>
      <color theme="1"/>
      <name val="Calibri"/>
      <charset val="134"/>
      <scheme val="minor"/>
    </font>
    <font>
      <u/>
      <sz val="11"/>
      <color theme="10"/>
      <name val="Calibri"/>
      <charset val="134"/>
      <scheme val="minor"/>
    </font>
    <font>
      <sz val="16"/>
      <color theme="1"/>
      <name val="Calibri"/>
      <charset val="134"/>
      <scheme val="minor"/>
    </font>
    <font>
      <sz val="12"/>
      <color theme="1"/>
      <name val="Calibri"/>
      <charset val="134"/>
      <scheme val="minor"/>
    </font>
    <font>
      <sz val="11"/>
      <color theme="1"/>
      <name val="Calibri"/>
      <charset val="134"/>
      <scheme val="minor"/>
    </font>
    <font>
      <sz val="11"/>
      <color theme="0"/>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rgb="FF00B050"/>
        <bgColor indexed="64"/>
      </patternFill>
    </fill>
    <fill>
      <patternFill patternType="solid">
        <fgColor rgb="FFFFFF00"/>
        <bgColor indexed="64"/>
      </patternFill>
    </fill>
    <fill>
      <patternFill patternType="solid">
        <fgColor rgb="FF002060"/>
        <bgColor indexed="64"/>
      </patternFill>
    </fill>
    <fill>
      <patternFill patternType="solid">
        <fgColor theme="8"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4" fontId="5" fillId="0" borderId="0" applyFont="0" applyFill="0" applyBorder="0" applyAlignment="0" applyProtection="0"/>
    <xf numFmtId="0" fontId="2" fillId="0" borderId="0" applyNumberFormat="0" applyFill="0" applyBorder="0" applyAlignment="0" applyProtection="0"/>
  </cellStyleXfs>
  <cellXfs count="18">
    <xf numFmtId="0" fontId="0" fillId="0" borderId="0" xfId="0"/>
    <xf numFmtId="0" fontId="1" fillId="0" borderId="0" xfId="0" applyFont="1"/>
    <xf numFmtId="0" fontId="2" fillId="0" borderId="0" xfId="2"/>
    <xf numFmtId="0" fontId="1" fillId="2" borderId="0" xfId="0" applyFont="1" applyFill="1"/>
    <xf numFmtId="165" fontId="0" fillId="0" borderId="0" xfId="0" applyNumberFormat="1"/>
    <xf numFmtId="166" fontId="0" fillId="0" borderId="0" xfId="0" applyNumberFormat="1"/>
    <xf numFmtId="166" fontId="0" fillId="0" borderId="0" xfId="1" applyNumberFormat="1" applyFont="1"/>
    <xf numFmtId="0" fontId="3" fillId="3" borderId="0" xfId="0" applyFont="1" applyFill="1"/>
    <xf numFmtId="0" fontId="4" fillId="0" borderId="0" xfId="0" applyFont="1" applyAlignment="1">
      <alignment vertical="center" wrapText="1"/>
    </xf>
    <xf numFmtId="0" fontId="3" fillId="4" borderId="1" xfId="0" applyFont="1" applyFill="1" applyBorder="1"/>
    <xf numFmtId="0" fontId="0" fillId="0" borderId="0" xfId="0" pivotButton="1"/>
    <xf numFmtId="0" fontId="0" fillId="0" borderId="0" xfId="0" applyAlignment="1">
      <alignment horizontal="left"/>
    </xf>
    <xf numFmtId="10" fontId="0" fillId="0" borderId="0" xfId="0" applyNumberFormat="1"/>
    <xf numFmtId="166" fontId="0" fillId="0" borderId="0" xfId="0" applyNumberFormat="1" applyAlignment="1">
      <alignment horizontal="left"/>
    </xf>
    <xf numFmtId="167" fontId="0" fillId="0" borderId="0" xfId="0" applyNumberFormat="1"/>
    <xf numFmtId="0" fontId="6" fillId="5" borderId="0" xfId="0" applyFont="1" applyFill="1"/>
    <xf numFmtId="0" fontId="0" fillId="6" borderId="0" xfId="0" applyFill="1"/>
    <xf numFmtId="0" fontId="0" fillId="0" borderId="0" xfId="0" applyNumberFormat="1"/>
  </cellXfs>
  <cellStyles count="3">
    <cellStyle name="Currency" xfId="1" builtinId="4"/>
    <cellStyle name="Hyperlink" xfId="2" builtinId="8"/>
    <cellStyle name="Normal" xfId="0" builtinId="0"/>
  </cellStyles>
  <dxfs count="2">
    <dxf>
      <numFmt numFmtId="167" formatCode="[$$-409]#,##0.00"/>
    </dxf>
    <dxf>
      <numFmt numFmtId="167"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OLUOMACHI.xlsx]Top 10 Customers!PivotTable4</c:name>
    <c:fmtId val="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Top 10 Customers Analysis</a:t>
            </a: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EA43-42F0-8E37-E4B07CF46F8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EA43-42F0-8E37-E4B07CF46F8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EA43-42F0-8E37-E4B07CF46F8B}"/>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5-EA43-42F0-8E37-E4B07CF46F8B}"/>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EA43-42F0-8E37-E4B07CF46F8B}"/>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EA43-42F0-8E37-E4B07CF46F8B}"/>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EA43-42F0-8E37-E4B07CF46F8B}"/>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EA43-42F0-8E37-E4B07CF46F8B}"/>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EA43-42F0-8E37-E4B07CF46F8B}"/>
              </c:ext>
            </c:extLst>
          </c:dPt>
          <c:dPt>
            <c:idx val="9"/>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EA43-42F0-8E37-E4B07CF46F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Customers'!$A$4:$A$19</c:f>
              <c:strCache>
                <c:ptCount val="15"/>
                <c:pt idx="0">
                  <c:v>Company D</c:v>
                </c:pt>
                <c:pt idx="1">
                  <c:v>Company H</c:v>
                </c:pt>
                <c:pt idx="2">
                  <c:v>Company BB</c:v>
                </c:pt>
                <c:pt idx="3">
                  <c:v>Company F</c:v>
                </c:pt>
                <c:pt idx="4">
                  <c:v>Company A</c:v>
                </c:pt>
                <c:pt idx="5">
                  <c:v>Company I</c:v>
                </c:pt>
                <c:pt idx="6">
                  <c:v>Company J</c:v>
                </c:pt>
                <c:pt idx="7">
                  <c:v>Company Z</c:v>
                </c:pt>
                <c:pt idx="8">
                  <c:v>Company C</c:v>
                </c:pt>
                <c:pt idx="9">
                  <c:v>Company K</c:v>
                </c:pt>
                <c:pt idx="10">
                  <c:v>Company G</c:v>
                </c:pt>
                <c:pt idx="11">
                  <c:v>Company CC</c:v>
                </c:pt>
                <c:pt idx="12">
                  <c:v>Company L</c:v>
                </c:pt>
                <c:pt idx="13">
                  <c:v>Company Y</c:v>
                </c:pt>
                <c:pt idx="14">
                  <c:v>Company AA</c:v>
                </c:pt>
              </c:strCache>
            </c:strRef>
          </c:cat>
          <c:val>
            <c:numRef>
              <c:f>'Top 10 Customers'!$B$4:$B$19</c:f>
              <c:numCache>
                <c:formatCode>"$"#,##0.00</c:formatCode>
                <c:ptCount val="15"/>
                <c:pt idx="0">
                  <c:v>67180.5</c:v>
                </c:pt>
                <c:pt idx="1">
                  <c:v>50208.35</c:v>
                </c:pt>
                <c:pt idx="2">
                  <c:v>43713</c:v>
                </c:pt>
                <c:pt idx="3">
                  <c:v>37428</c:v>
                </c:pt>
                <c:pt idx="4">
                  <c:v>36839.990000000005</c:v>
                </c:pt>
                <c:pt idx="5">
                  <c:v>32530.6</c:v>
                </c:pt>
                <c:pt idx="6">
                  <c:v>29133.009999999995</c:v>
                </c:pt>
                <c:pt idx="7">
                  <c:v>28208.250000000007</c:v>
                </c:pt>
                <c:pt idx="8">
                  <c:v>27005.38</c:v>
                </c:pt>
                <c:pt idx="9">
                  <c:v>21937.08</c:v>
                </c:pt>
                <c:pt idx="10">
                  <c:v>17204</c:v>
                </c:pt>
                <c:pt idx="11">
                  <c:v>16350.5</c:v>
                </c:pt>
                <c:pt idx="12">
                  <c:v>14074</c:v>
                </c:pt>
                <c:pt idx="13">
                  <c:v>11962</c:v>
                </c:pt>
                <c:pt idx="14">
                  <c:v>1291.5</c:v>
                </c:pt>
              </c:numCache>
            </c:numRef>
          </c:val>
          <c:extLst>
            <c:ext xmlns:c16="http://schemas.microsoft.com/office/drawing/2014/chart" uri="{C3380CC4-5D6E-409C-BE32-E72D297353CC}">
              <c16:uniqueId val="{00000000-EA43-42F0-8E37-E4B07CF46F8B}"/>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OLUOMACHI.xlsx]Salesperson performance!PivotTable4</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Salesperson</a:t>
            </a:r>
            <a:r>
              <a:rPr lang="en-US" baseline="0">
                <a:solidFill>
                  <a:schemeClr val="bg2"/>
                </a:solidFill>
              </a:rPr>
              <a:t> Performance </a:t>
            </a:r>
            <a:r>
              <a:rPr lang="en-US">
                <a:solidFill>
                  <a:schemeClr val="bg2"/>
                </a:solidFill>
              </a:rPr>
              <a:t>Analysis</a:t>
            </a: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75000"/>
            </a:schemeClr>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1CC2-4A01-9215-186BCDF929C4}"/>
              </c:ext>
            </c:extLst>
          </c:dPt>
          <c:dPt>
            <c:idx val="1"/>
            <c:invertIfNegative val="0"/>
            <c:bubble3D val="0"/>
            <c:extLst>
              <c:ext xmlns:c16="http://schemas.microsoft.com/office/drawing/2014/chart" uri="{C3380CC4-5D6E-409C-BE32-E72D297353CC}">
                <c16:uniqueId val="{00000003-1CC2-4A01-9215-186BCDF929C4}"/>
              </c:ext>
            </c:extLst>
          </c:dPt>
          <c:dPt>
            <c:idx val="2"/>
            <c:invertIfNegative val="0"/>
            <c:bubble3D val="0"/>
            <c:extLst>
              <c:ext xmlns:c16="http://schemas.microsoft.com/office/drawing/2014/chart" uri="{C3380CC4-5D6E-409C-BE32-E72D297353CC}">
                <c16:uniqueId val="{00000005-1CC2-4A01-9215-186BCDF929C4}"/>
              </c:ext>
            </c:extLst>
          </c:dPt>
          <c:dPt>
            <c:idx val="3"/>
            <c:invertIfNegative val="0"/>
            <c:bubble3D val="0"/>
            <c:extLst>
              <c:ext xmlns:c16="http://schemas.microsoft.com/office/drawing/2014/chart" uri="{C3380CC4-5D6E-409C-BE32-E72D297353CC}">
                <c16:uniqueId val="{00000007-1CC2-4A01-9215-186BCDF929C4}"/>
              </c:ext>
            </c:extLst>
          </c:dPt>
          <c:dPt>
            <c:idx val="4"/>
            <c:invertIfNegative val="0"/>
            <c:bubble3D val="0"/>
            <c:extLst>
              <c:ext xmlns:c16="http://schemas.microsoft.com/office/drawing/2014/chart" uri="{C3380CC4-5D6E-409C-BE32-E72D297353CC}">
                <c16:uniqueId val="{00000009-1CC2-4A01-9215-186BCDF929C4}"/>
              </c:ext>
            </c:extLst>
          </c:dPt>
          <c:dPt>
            <c:idx val="5"/>
            <c:invertIfNegative val="0"/>
            <c:bubble3D val="0"/>
            <c:extLst>
              <c:ext xmlns:c16="http://schemas.microsoft.com/office/drawing/2014/chart" uri="{C3380CC4-5D6E-409C-BE32-E72D297353CC}">
                <c16:uniqueId val="{0000000B-1CC2-4A01-9215-186BCDF929C4}"/>
              </c:ext>
            </c:extLst>
          </c:dPt>
          <c:dPt>
            <c:idx val="6"/>
            <c:invertIfNegative val="0"/>
            <c:bubble3D val="0"/>
            <c:extLst>
              <c:ext xmlns:c16="http://schemas.microsoft.com/office/drawing/2014/chart" uri="{C3380CC4-5D6E-409C-BE32-E72D297353CC}">
                <c16:uniqueId val="{0000000D-1CC2-4A01-9215-186BCDF929C4}"/>
              </c:ext>
            </c:extLst>
          </c:dPt>
          <c:dPt>
            <c:idx val="7"/>
            <c:invertIfNegative val="0"/>
            <c:bubble3D val="0"/>
            <c:extLst>
              <c:ext xmlns:c16="http://schemas.microsoft.com/office/drawing/2014/chart" uri="{C3380CC4-5D6E-409C-BE32-E72D297353CC}">
                <c16:uniqueId val="{0000000F-1CC2-4A01-9215-186BCDF929C4}"/>
              </c:ext>
            </c:extLst>
          </c:dPt>
          <c:dPt>
            <c:idx val="8"/>
            <c:invertIfNegative val="0"/>
            <c:bubble3D val="0"/>
            <c:extLst>
              <c:ext xmlns:c16="http://schemas.microsoft.com/office/drawing/2014/chart" uri="{C3380CC4-5D6E-409C-BE32-E72D297353CC}">
                <c16:uniqueId val="{00000011-1CC2-4A01-9215-186BCDF929C4}"/>
              </c:ext>
            </c:extLst>
          </c:dPt>
          <c:dPt>
            <c:idx val="9"/>
            <c:invertIfNegative val="0"/>
            <c:bubble3D val="0"/>
            <c:extLst>
              <c:ext xmlns:c16="http://schemas.microsoft.com/office/drawing/2014/chart" uri="{C3380CC4-5D6E-409C-BE32-E72D297353CC}">
                <c16:uniqueId val="{00000013-1CC2-4A01-9215-186BCDF929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'Salesperson performance'!$B$4:$B$12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4-1CC2-4A01-9215-186BCDF929C4}"/>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OLUOMACHI.xlsx]Regional performance!PivotTable4</c:name>
    <c:fmtId val="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aseline="0">
                <a:solidFill>
                  <a:schemeClr val="bg2"/>
                </a:solidFill>
              </a:rPr>
              <a:t>Regional Performance </a:t>
            </a:r>
            <a:r>
              <a:rPr lang="en-US">
                <a:solidFill>
                  <a:schemeClr val="bg2"/>
                </a:solidFill>
              </a:rPr>
              <a:t>Analysis</a:t>
            </a: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5">
              <a:lumMod val="60000"/>
              <a:lumOff val="40000"/>
            </a:schemeClr>
          </a:solidFill>
          <a:ln>
            <a:noFill/>
          </a:ln>
          <a:effectLst/>
        </c:spPr>
      </c:pivotFmt>
    </c:pivotFmts>
    <c:plotArea>
      <c:layout/>
      <c:pieChart>
        <c:varyColors val="1"/>
        <c:ser>
          <c:idx val="0"/>
          <c:order val="0"/>
          <c:tx>
            <c:strRef>
              <c:f>'Regional performance'!$B$3</c:f>
              <c:strCache>
                <c:ptCount val="1"/>
                <c:pt idx="0">
                  <c:v>Total</c:v>
                </c:pt>
              </c:strCache>
            </c:strRef>
          </c:tx>
          <c:dPt>
            <c:idx val="0"/>
            <c:bubble3D val="0"/>
            <c:spPr>
              <a:solidFill>
                <a:schemeClr val="accent5">
                  <a:lumMod val="60000"/>
                  <a:lumOff val="40000"/>
                </a:schemeClr>
              </a:solidFill>
              <a:ln>
                <a:noFill/>
              </a:ln>
              <a:effectLst/>
            </c:spPr>
            <c:extLst>
              <c:ext xmlns:c16="http://schemas.microsoft.com/office/drawing/2014/chart" uri="{C3380CC4-5D6E-409C-BE32-E72D297353CC}">
                <c16:uniqueId val="{00000001-F24A-48FE-B8FF-2B700B003F64}"/>
              </c:ext>
            </c:extLst>
          </c:dPt>
          <c:dPt>
            <c:idx val="1"/>
            <c:bubble3D val="0"/>
            <c:spPr>
              <a:solidFill>
                <a:schemeClr val="accent2"/>
              </a:solidFill>
              <a:ln>
                <a:noFill/>
              </a:ln>
              <a:effectLst/>
            </c:spPr>
            <c:extLst>
              <c:ext xmlns:c16="http://schemas.microsoft.com/office/drawing/2014/chart" uri="{C3380CC4-5D6E-409C-BE32-E72D297353CC}">
                <c16:uniqueId val="{00000003-F24A-48FE-B8FF-2B700B003F64}"/>
              </c:ext>
            </c:extLst>
          </c:dPt>
          <c:dPt>
            <c:idx val="2"/>
            <c:bubble3D val="0"/>
            <c:spPr>
              <a:solidFill>
                <a:schemeClr val="accent3"/>
              </a:solidFill>
              <a:ln>
                <a:noFill/>
              </a:ln>
              <a:effectLst/>
            </c:spPr>
            <c:extLst>
              <c:ext xmlns:c16="http://schemas.microsoft.com/office/drawing/2014/chart" uri="{C3380CC4-5D6E-409C-BE32-E72D297353CC}">
                <c16:uniqueId val="{00000005-F24A-48FE-B8FF-2B700B003F64}"/>
              </c:ext>
            </c:extLst>
          </c:dPt>
          <c:dPt>
            <c:idx val="3"/>
            <c:bubble3D val="0"/>
            <c:spPr>
              <a:solidFill>
                <a:schemeClr val="accent4"/>
              </a:solidFill>
              <a:ln>
                <a:noFill/>
              </a:ln>
              <a:effectLst/>
            </c:spPr>
            <c:extLst>
              <c:ext xmlns:c16="http://schemas.microsoft.com/office/drawing/2014/chart" uri="{C3380CC4-5D6E-409C-BE32-E72D297353CC}">
                <c16:uniqueId val="{00000007-F24A-48FE-B8FF-2B700B003F64}"/>
              </c:ext>
            </c:extLst>
          </c:dPt>
          <c:dPt>
            <c:idx val="4"/>
            <c:bubble3D val="0"/>
            <c:spPr>
              <a:solidFill>
                <a:schemeClr val="accent5"/>
              </a:solidFill>
              <a:ln>
                <a:noFill/>
              </a:ln>
              <a:effectLst/>
            </c:spPr>
            <c:extLst>
              <c:ext xmlns:c16="http://schemas.microsoft.com/office/drawing/2014/chart" uri="{C3380CC4-5D6E-409C-BE32-E72D297353CC}">
                <c16:uniqueId val="{00000009-F24A-48FE-B8FF-2B700B003F64}"/>
              </c:ext>
            </c:extLst>
          </c:dPt>
          <c:dPt>
            <c:idx val="5"/>
            <c:bubble3D val="0"/>
            <c:spPr>
              <a:solidFill>
                <a:schemeClr val="accent6"/>
              </a:solidFill>
              <a:ln>
                <a:noFill/>
              </a:ln>
              <a:effectLst/>
            </c:spPr>
            <c:extLst>
              <c:ext xmlns:c16="http://schemas.microsoft.com/office/drawing/2014/chart" uri="{C3380CC4-5D6E-409C-BE32-E72D297353CC}">
                <c16:uniqueId val="{0000000B-F24A-48FE-B8FF-2B700B003F6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24A-48FE-B8FF-2B700B003F64}"/>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24A-48FE-B8FF-2B700B003F64}"/>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0-F24A-48FE-B8FF-2B700B003F64}"/>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1-F24A-48FE-B8FF-2B700B003F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performance'!$A$4:$A$8</c:f>
              <c:strCache>
                <c:ptCount val="4"/>
                <c:pt idx="0">
                  <c:v>North</c:v>
                </c:pt>
                <c:pt idx="1">
                  <c:v>East</c:v>
                </c:pt>
                <c:pt idx="2">
                  <c:v>South</c:v>
                </c:pt>
                <c:pt idx="3">
                  <c:v>West</c:v>
                </c:pt>
              </c:strCache>
            </c:strRef>
          </c:cat>
          <c:val>
            <c:numRef>
              <c:f>'Regional performance'!$B$4:$B$8</c:f>
              <c:numCache>
                <c:formatCode>0.00%</c:formatCode>
                <c:ptCount val="4"/>
                <c:pt idx="0">
                  <c:v>0.32565240192434181</c:v>
                </c:pt>
                <c:pt idx="1">
                  <c:v>0.24887136705828836</c:v>
                </c:pt>
                <c:pt idx="2">
                  <c:v>0.21573346453789927</c:v>
                </c:pt>
                <c:pt idx="3">
                  <c:v>0.20974276647947065</c:v>
                </c:pt>
              </c:numCache>
            </c:numRef>
          </c:val>
          <c:extLst>
            <c:ext xmlns:c16="http://schemas.microsoft.com/office/drawing/2014/chart" uri="{C3380CC4-5D6E-409C-BE32-E72D297353CC}">
              <c16:uniqueId val="{00000012-F24A-48FE-B8FF-2B700B003F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 By Product Category!PivotTable4</c:name>
    <c:fmtId val="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a:t>
            </a:r>
            <a:r>
              <a:rPr lang="en-US" baseline="0">
                <a:solidFill>
                  <a:schemeClr val="bg2"/>
                </a:solidFill>
              </a:rPr>
              <a:t> By Product Category</a:t>
            </a:r>
            <a:endParaRPr lang="en-US">
              <a:solidFill>
                <a:schemeClr val="bg2"/>
              </a:solidFill>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75000"/>
            </a:schemeClr>
          </a:solidFill>
          <a:ln>
            <a:noFill/>
          </a:ln>
          <a:effectLst/>
        </c:spPr>
      </c:pivotFmt>
      <c:pivotFmt>
        <c:idx val="40"/>
        <c:spPr>
          <a:solidFill>
            <a:schemeClr val="accent5">
              <a:lumMod val="5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1-2BBD-4110-9606-2296F5F0C02D}"/>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2BBD-4110-9606-2296F5F0C02D}"/>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2BBD-4110-9606-2296F5F0C02D}"/>
              </c:ext>
            </c:extLst>
          </c:dPt>
          <c:dPt>
            <c:idx val="3"/>
            <c:invertIfNegative val="0"/>
            <c:bubble3D val="0"/>
            <c:extLst>
              <c:ext xmlns:c16="http://schemas.microsoft.com/office/drawing/2014/chart" uri="{C3380CC4-5D6E-409C-BE32-E72D297353CC}">
                <c16:uniqueId val="{00000007-2BBD-4110-9606-2296F5F0C02D}"/>
              </c:ext>
            </c:extLst>
          </c:dPt>
          <c:dPt>
            <c:idx val="4"/>
            <c:invertIfNegative val="0"/>
            <c:bubble3D val="0"/>
            <c:extLst>
              <c:ext xmlns:c16="http://schemas.microsoft.com/office/drawing/2014/chart" uri="{C3380CC4-5D6E-409C-BE32-E72D297353CC}">
                <c16:uniqueId val="{00000009-2BBD-4110-9606-2296F5F0C02D}"/>
              </c:ext>
            </c:extLst>
          </c:dPt>
          <c:dPt>
            <c:idx val="5"/>
            <c:invertIfNegative val="0"/>
            <c:bubble3D val="0"/>
            <c:extLst>
              <c:ext xmlns:c16="http://schemas.microsoft.com/office/drawing/2014/chart" uri="{C3380CC4-5D6E-409C-BE32-E72D297353CC}">
                <c16:uniqueId val="{0000000B-2BBD-4110-9606-2296F5F0C02D}"/>
              </c:ext>
            </c:extLst>
          </c:dPt>
          <c:dPt>
            <c:idx val="6"/>
            <c:invertIfNegative val="0"/>
            <c:bubble3D val="0"/>
            <c:extLst>
              <c:ext xmlns:c16="http://schemas.microsoft.com/office/drawing/2014/chart" uri="{C3380CC4-5D6E-409C-BE32-E72D297353CC}">
                <c16:uniqueId val="{0000000D-2BBD-4110-9606-2296F5F0C02D}"/>
              </c:ext>
            </c:extLst>
          </c:dPt>
          <c:dPt>
            <c:idx val="7"/>
            <c:invertIfNegative val="0"/>
            <c:bubble3D val="0"/>
            <c:extLst>
              <c:ext xmlns:c16="http://schemas.microsoft.com/office/drawing/2014/chart" uri="{C3380CC4-5D6E-409C-BE32-E72D297353CC}">
                <c16:uniqueId val="{0000000F-2BBD-4110-9606-2296F5F0C02D}"/>
              </c:ext>
            </c:extLst>
          </c:dPt>
          <c:dPt>
            <c:idx val="8"/>
            <c:invertIfNegative val="0"/>
            <c:bubble3D val="0"/>
            <c:extLst>
              <c:ext xmlns:c16="http://schemas.microsoft.com/office/drawing/2014/chart" uri="{C3380CC4-5D6E-409C-BE32-E72D297353CC}">
                <c16:uniqueId val="{00000010-2BBD-4110-9606-2296F5F0C02D}"/>
              </c:ext>
            </c:extLst>
          </c:dPt>
          <c:dPt>
            <c:idx val="9"/>
            <c:invertIfNegative val="0"/>
            <c:bubble3D val="0"/>
            <c:extLst>
              <c:ext xmlns:c16="http://schemas.microsoft.com/office/drawing/2014/chart" uri="{C3380CC4-5D6E-409C-BE32-E72D297353CC}">
                <c16:uniqueId val="{00000011-2BBD-4110-9606-2296F5F0C0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12-2BBD-4110-9606-2296F5F0C02D}"/>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 Trend Report!PivotTable4</c:name>
    <c:fmtId val="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a:t>
            </a:r>
            <a:r>
              <a:rPr lang="en-US" baseline="0">
                <a:solidFill>
                  <a:schemeClr val="bg2"/>
                </a:solidFill>
              </a:rPr>
              <a:t> By Product Category</a:t>
            </a:r>
            <a:endParaRPr lang="en-US">
              <a:solidFill>
                <a:schemeClr val="bg2"/>
              </a:solidFill>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ln w="28575" cap="rnd">
            <a:solidFill>
              <a:schemeClr val="accent1"/>
            </a:solidFill>
            <a:round/>
          </a:ln>
          <a:effectLst/>
        </c:spPr>
        <c:marker>
          <c:symbol val="none"/>
        </c:marker>
      </c:pivotFmt>
      <c:pivotFmt>
        <c:idx val="53"/>
        <c:spPr>
          <a:ln w="28575" cap="rnd">
            <a:solidFill>
              <a:schemeClr val="accent1"/>
            </a:solidFill>
            <a:round/>
          </a:ln>
          <a:effectLst/>
        </c:spPr>
        <c:marker>
          <c:symbol val="none"/>
        </c:marker>
      </c:pivotFmt>
      <c:pivotFmt>
        <c:idx val="54"/>
        <c:spPr>
          <a:ln w="28575" cap="rnd">
            <a:solidFill>
              <a:schemeClr val="accent1"/>
            </a:solidFill>
            <a:round/>
          </a:ln>
          <a:effectLst/>
        </c:spPr>
        <c:marker>
          <c:symbol val="none"/>
        </c:marker>
      </c:pivotFmt>
      <c:pivotFmt>
        <c:idx val="55"/>
        <c:spPr>
          <a:ln w="28575" cap="rnd">
            <a:solidFill>
              <a:schemeClr val="accent1"/>
            </a:solidFill>
            <a:round/>
          </a:ln>
          <a:effectLst/>
        </c:spPr>
        <c:marker>
          <c:symbol val="none"/>
        </c:marker>
      </c:pivotFmt>
      <c:pivotFmt>
        <c:idx val="56"/>
        <c:spPr>
          <a:ln w="28575" cap="rnd">
            <a:solidFill>
              <a:schemeClr val="accent1"/>
            </a:solidFill>
            <a:round/>
          </a:ln>
          <a:effectLst/>
        </c:spPr>
        <c:marker>
          <c:symbol val="none"/>
        </c:marker>
      </c:pivotFmt>
      <c:pivotFmt>
        <c:idx val="57"/>
        <c:spPr>
          <a:ln w="28575" cap="rnd">
            <a:solidFill>
              <a:schemeClr val="accent1"/>
            </a:solidFill>
            <a:round/>
          </a:ln>
          <a:effectLst/>
        </c:spPr>
        <c:marker>
          <c:symbol val="none"/>
        </c:marker>
      </c:pivotFmt>
      <c:pivotFmt>
        <c:idx val="58"/>
        <c:spPr>
          <a:ln w="28575" cap="rnd">
            <a:solidFill>
              <a:schemeClr val="accent1"/>
            </a:solidFill>
            <a:round/>
          </a:ln>
          <a:effectLst/>
        </c:spPr>
        <c:marker>
          <c:symbol val="none"/>
        </c:marker>
      </c:pivotFmt>
      <c:pivotFmt>
        <c:idx val="59"/>
        <c:spPr>
          <a:ln w="28575" cap="rnd">
            <a:solidFill>
              <a:schemeClr val="accent1"/>
            </a:solidFill>
            <a:round/>
          </a:ln>
          <a:effectLst/>
        </c:spPr>
        <c:marker>
          <c:symbol val="none"/>
        </c:marker>
      </c:pivotFmt>
      <c:pivotFmt>
        <c:idx val="60"/>
        <c:spPr>
          <a:ln w="28575" cap="rnd">
            <a:solidFill>
              <a:schemeClr val="accent1"/>
            </a:solidFill>
            <a:round/>
          </a:ln>
          <a:effectLst/>
        </c:spPr>
        <c:marker>
          <c:symbol val="none"/>
        </c:marker>
      </c:pivotFmt>
      <c:pivotFmt>
        <c:idx val="61"/>
        <c:spPr>
          <a:ln w="28575" cap="rnd">
            <a:solidFill>
              <a:schemeClr val="accent1"/>
            </a:solidFill>
            <a:round/>
          </a:ln>
          <a:effectLst/>
        </c:spPr>
        <c:marker>
          <c:symbol val="none"/>
        </c:marker>
      </c:pivotFmt>
      <c:pivotFmt>
        <c:idx val="62"/>
        <c:spPr>
          <a:ln w="28575" cap="rnd">
            <a:solidFill>
              <a:schemeClr val="accent1"/>
            </a:solidFill>
            <a:round/>
          </a:ln>
          <a:effectLst/>
        </c:spPr>
        <c:marker>
          <c:symbol val="none"/>
        </c:marker>
      </c:pivotFmt>
      <c:pivotFmt>
        <c:idx val="63"/>
        <c:spPr>
          <a:ln w="28575" cap="rnd">
            <a:solidFill>
              <a:schemeClr val="accent1"/>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316D-452E-A34C-A0FDE8F6FE47}"/>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316D-452E-A34C-A0FDE8F6FE47}"/>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316D-452E-A34C-A0FDE8F6FE47}"/>
              </c:ext>
            </c:extLst>
          </c:dPt>
          <c:dPt>
            <c:idx val="3"/>
            <c:marker>
              <c:symbol val="none"/>
            </c:marker>
            <c:bubble3D val="0"/>
            <c:extLst>
              <c:ext xmlns:c16="http://schemas.microsoft.com/office/drawing/2014/chart" uri="{C3380CC4-5D6E-409C-BE32-E72D297353CC}">
                <c16:uniqueId val="{00000007-316D-452E-A34C-A0FDE8F6FE47}"/>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316D-452E-A34C-A0FDE8F6FE47}"/>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316D-452E-A34C-A0FDE8F6FE47}"/>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C-316D-452E-A34C-A0FDE8F6FE47}"/>
              </c:ext>
            </c:extLst>
          </c:dPt>
          <c:dPt>
            <c:idx val="7"/>
            <c:marker>
              <c:symbol val="none"/>
            </c:marker>
            <c:bubble3D val="0"/>
            <c:extLst>
              <c:ext xmlns:c16="http://schemas.microsoft.com/office/drawing/2014/chart" uri="{C3380CC4-5D6E-409C-BE32-E72D297353CC}">
                <c16:uniqueId val="{0000000D-316D-452E-A34C-A0FDE8F6FE47}"/>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E-316D-452E-A34C-A0FDE8F6FE47}"/>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F-316D-452E-A34C-A0FDE8F6FE47}"/>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2-F832-4C4F-A37E-CC71B0C93805}"/>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4-F832-4C4F-A37E-CC71B0C938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55601.610000000008</c:v>
                </c:pt>
                <c:pt idx="6">
                  <c:v>27318.539999999997</c:v>
                </c:pt>
                <c:pt idx="7">
                  <c:v>29921.459999999995</c:v>
                </c:pt>
                <c:pt idx="8">
                  <c:v>31949.970000000005</c:v>
                </c:pt>
                <c:pt idx="9">
                  <c:v>53033.59</c:v>
                </c:pt>
                <c:pt idx="10">
                  <c:v>31773.429999999997</c:v>
                </c:pt>
                <c:pt idx="11">
                  <c:v>66642.78</c:v>
                </c:pt>
              </c:numCache>
            </c:numRef>
          </c:val>
          <c:smooth val="0"/>
          <c:extLst>
            <c:ext xmlns:c16="http://schemas.microsoft.com/office/drawing/2014/chart" uri="{C3380CC4-5D6E-409C-BE32-E72D297353CC}">
              <c16:uniqueId val="{00000010-316D-452E-A34C-A0FDE8F6FE47}"/>
            </c:ext>
          </c:extLst>
        </c:ser>
        <c:dLbls>
          <c:showLegendKey val="0"/>
          <c:showVal val="1"/>
          <c:showCatName val="0"/>
          <c:showSerName val="0"/>
          <c:showPercent val="0"/>
          <c:showBubbleSize val="0"/>
        </c:dLbls>
        <c:smooth val="0"/>
        <c:axId val="324189592"/>
        <c:axId val="324203632"/>
      </c:lineChart>
      <c:catAx>
        <c:axId val="32418959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r"/>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OLUOMACHI.xlsx]Transaction By Amount!PivotTable4</c:name>
    <c:fmtId val="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Transaction</a:t>
            </a:r>
            <a:r>
              <a:rPr lang="en-US" baseline="0">
                <a:solidFill>
                  <a:schemeClr val="bg2"/>
                </a:solidFill>
              </a:rPr>
              <a:t> By Amount</a:t>
            </a:r>
            <a:endParaRPr lang="en-US">
              <a:solidFill>
                <a:schemeClr val="bg2"/>
              </a:solidFill>
            </a:endParaRPr>
          </a:p>
        </c:rich>
      </c:tx>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spPr>
          <a:solidFill>
            <a:schemeClr val="accent5">
              <a:lumMod val="50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BD96-45BF-839B-79FDB172B25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BD96-45BF-839B-79FDB172B25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BD96-45BF-839B-79FDB172B251}"/>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BD96-45BF-839B-79FDB172B251}"/>
              </c:ext>
            </c:extLst>
          </c:dPt>
          <c:dPt>
            <c:idx val="4"/>
            <c:invertIfNegative val="0"/>
            <c:bubble3D val="0"/>
            <c:extLst>
              <c:ext xmlns:c16="http://schemas.microsoft.com/office/drawing/2014/chart" uri="{C3380CC4-5D6E-409C-BE32-E72D297353CC}">
                <c16:uniqueId val="{00000004-BD96-45BF-839B-79FDB172B251}"/>
              </c:ext>
            </c:extLst>
          </c:dPt>
          <c:dPt>
            <c:idx val="5"/>
            <c:invertIfNegative val="0"/>
            <c:bubble3D val="0"/>
            <c:extLst>
              <c:ext xmlns:c16="http://schemas.microsoft.com/office/drawing/2014/chart" uri="{C3380CC4-5D6E-409C-BE32-E72D297353CC}">
                <c16:uniqueId val="{00000005-BD96-45BF-839B-79FDB172B251}"/>
              </c:ext>
            </c:extLst>
          </c:dPt>
          <c:dPt>
            <c:idx val="6"/>
            <c:invertIfNegative val="0"/>
            <c:bubble3D val="0"/>
            <c:extLst>
              <c:ext xmlns:c16="http://schemas.microsoft.com/office/drawing/2014/chart" uri="{C3380CC4-5D6E-409C-BE32-E72D297353CC}">
                <c16:uniqueId val="{00000006-BD96-45BF-839B-79FDB172B251}"/>
              </c:ext>
            </c:extLst>
          </c:dPt>
          <c:dPt>
            <c:idx val="7"/>
            <c:invertIfNegative val="0"/>
            <c:bubble3D val="0"/>
            <c:extLst>
              <c:ext xmlns:c16="http://schemas.microsoft.com/office/drawing/2014/chart" uri="{C3380CC4-5D6E-409C-BE32-E72D297353CC}">
                <c16:uniqueId val="{00000007-BD96-45BF-839B-79FDB172B251}"/>
              </c:ext>
            </c:extLst>
          </c:dPt>
          <c:dPt>
            <c:idx val="8"/>
            <c:invertIfNegative val="0"/>
            <c:bubble3D val="0"/>
            <c:extLst>
              <c:ext xmlns:c16="http://schemas.microsoft.com/office/drawing/2014/chart" uri="{C3380CC4-5D6E-409C-BE32-E72D297353CC}">
                <c16:uniqueId val="{00000008-BD96-45BF-839B-79FDB172B251}"/>
              </c:ext>
            </c:extLst>
          </c:dPt>
          <c:dPt>
            <c:idx val="9"/>
            <c:invertIfNegative val="0"/>
            <c:bubble3D val="0"/>
            <c:extLst>
              <c:ext xmlns:c16="http://schemas.microsoft.com/office/drawing/2014/chart" uri="{C3380CC4-5D6E-409C-BE32-E72D297353CC}">
                <c16:uniqueId val="{00000009-BD96-45BF-839B-79FDB172B2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A-BD96-45BF-839B-79FDB172B251}"/>
            </c:ext>
          </c:extLst>
        </c:ser>
        <c:dLbls>
          <c:dLblPos val="outEnd"/>
          <c:showLegendKey val="0"/>
          <c:showVal val="1"/>
          <c:showCatName val="0"/>
          <c:showSerName val="0"/>
          <c:showPercent val="0"/>
          <c:showBubbleSize val="0"/>
        </c:dLbls>
        <c:gapWidth val="20"/>
        <c:axId val="324189592"/>
        <c:axId val="324203632"/>
      </c:barChart>
      <c:catAx>
        <c:axId val="32418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OLUOMACHI.xlsx]Top Cities by Revenue!PivotTable4</c:name>
    <c:fmtId val="6"/>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Top</a:t>
            </a:r>
            <a:r>
              <a:rPr lang="en-US" baseline="0">
                <a:solidFill>
                  <a:schemeClr val="accent5">
                    <a:lumMod val="50000"/>
                  </a:schemeClr>
                </a:solidFill>
                <a:latin typeface="Garamond" panose="02020404030301010803" pitchFamily="18" charset="0"/>
              </a:rPr>
              <a:t> Cities by Revenue</a:t>
            </a:r>
            <a:endParaRPr lang="en-US">
              <a:solidFill>
                <a:schemeClr val="accent5">
                  <a:lumMod val="50000"/>
                </a:schemeClr>
              </a:solidFill>
              <a:latin typeface="Garamond" panose="02020404030301010803" pitchFamily="18"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60000"/>
              <a:lumOff val="40000"/>
            </a:schemeClr>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5">
              <a:lumMod val="75000"/>
            </a:schemeClr>
          </a:solidFill>
          <a:ln>
            <a:noFill/>
          </a:ln>
          <a:effectLst/>
        </c:spPr>
      </c:pivotFmt>
    </c:pivotFmts>
    <c:plotArea>
      <c:layout/>
      <c:pieChart>
        <c:varyColors val="1"/>
        <c:ser>
          <c:idx val="0"/>
          <c:order val="0"/>
          <c:tx>
            <c:strRef>
              <c:f>'Top Cities by Revenue'!$B$3</c:f>
              <c:strCache>
                <c:ptCount val="1"/>
                <c:pt idx="0">
                  <c:v>Total</c:v>
                </c:pt>
              </c:strCache>
            </c:strRef>
          </c:tx>
          <c:dPt>
            <c:idx val="0"/>
            <c:bubble3D val="0"/>
            <c:spPr>
              <a:solidFill>
                <a:schemeClr val="accent5">
                  <a:lumMod val="60000"/>
                  <a:lumOff val="40000"/>
                </a:schemeClr>
              </a:solidFill>
              <a:ln>
                <a:noFill/>
              </a:ln>
              <a:effectLst/>
            </c:spPr>
            <c:extLst>
              <c:ext xmlns:c16="http://schemas.microsoft.com/office/drawing/2014/chart" uri="{C3380CC4-5D6E-409C-BE32-E72D297353CC}">
                <c16:uniqueId val="{00000001-1FE6-4FAC-AF63-F29F1980AFCE}"/>
              </c:ext>
            </c:extLst>
          </c:dPt>
          <c:dPt>
            <c:idx val="1"/>
            <c:bubble3D val="0"/>
            <c:spPr>
              <a:solidFill>
                <a:schemeClr val="accent2"/>
              </a:solidFill>
              <a:ln>
                <a:noFill/>
              </a:ln>
              <a:effectLst/>
            </c:spPr>
            <c:extLst>
              <c:ext xmlns:c16="http://schemas.microsoft.com/office/drawing/2014/chart" uri="{C3380CC4-5D6E-409C-BE32-E72D297353CC}">
                <c16:uniqueId val="{00000003-1FE6-4FAC-AF63-F29F1980AFCE}"/>
              </c:ext>
            </c:extLst>
          </c:dPt>
          <c:dPt>
            <c:idx val="2"/>
            <c:bubble3D val="0"/>
            <c:spPr>
              <a:solidFill>
                <a:schemeClr val="accent3"/>
              </a:solidFill>
              <a:ln>
                <a:noFill/>
              </a:ln>
              <a:effectLst/>
            </c:spPr>
            <c:extLst>
              <c:ext xmlns:c16="http://schemas.microsoft.com/office/drawing/2014/chart" uri="{C3380CC4-5D6E-409C-BE32-E72D297353CC}">
                <c16:uniqueId val="{00000005-1FE6-4FAC-AF63-F29F1980AFCE}"/>
              </c:ext>
            </c:extLst>
          </c:dPt>
          <c:dPt>
            <c:idx val="3"/>
            <c:bubble3D val="0"/>
            <c:spPr>
              <a:solidFill>
                <a:schemeClr val="accent4"/>
              </a:solidFill>
              <a:ln>
                <a:noFill/>
              </a:ln>
              <a:effectLst/>
            </c:spPr>
            <c:extLst>
              <c:ext xmlns:c16="http://schemas.microsoft.com/office/drawing/2014/chart" uri="{C3380CC4-5D6E-409C-BE32-E72D297353CC}">
                <c16:uniqueId val="{00000007-1FE6-4FAC-AF63-F29F1980AFCE}"/>
              </c:ext>
            </c:extLst>
          </c:dPt>
          <c:dPt>
            <c:idx val="4"/>
            <c:bubble3D val="0"/>
            <c:spPr>
              <a:solidFill>
                <a:schemeClr val="accent5"/>
              </a:solidFill>
              <a:ln>
                <a:noFill/>
              </a:ln>
              <a:effectLst/>
            </c:spPr>
            <c:extLst>
              <c:ext xmlns:c16="http://schemas.microsoft.com/office/drawing/2014/chart" uri="{C3380CC4-5D6E-409C-BE32-E72D297353CC}">
                <c16:uniqueId val="{00000009-1FE6-4FAC-AF63-F29F1980AFCE}"/>
              </c:ext>
            </c:extLst>
          </c:dPt>
          <c:dPt>
            <c:idx val="5"/>
            <c:bubble3D val="0"/>
            <c:spPr>
              <a:solidFill>
                <a:schemeClr val="accent6"/>
              </a:solidFill>
              <a:ln>
                <a:noFill/>
              </a:ln>
              <a:effectLst/>
            </c:spPr>
            <c:extLst>
              <c:ext xmlns:c16="http://schemas.microsoft.com/office/drawing/2014/chart" uri="{C3380CC4-5D6E-409C-BE32-E72D297353CC}">
                <c16:uniqueId val="{0000000B-1FE6-4FAC-AF63-F29F1980AFC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C-1FE6-4FAC-AF63-F29F1980AFC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D-1FE6-4FAC-AF63-F29F1980AFC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0E-1FE6-4FAC-AF63-F29F1980AFC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0F-1FE6-4FAC-AF63-F29F1980AF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Cities by Revenue'!$A$4:$A$9</c:f>
              <c:strCache>
                <c:ptCount val="5"/>
                <c:pt idx="0">
                  <c:v>New York</c:v>
                </c:pt>
                <c:pt idx="1">
                  <c:v>Portland</c:v>
                </c:pt>
                <c:pt idx="2">
                  <c:v>Miami</c:v>
                </c:pt>
                <c:pt idx="3">
                  <c:v>Memphis</c:v>
                </c:pt>
                <c:pt idx="4">
                  <c:v>Chicago</c:v>
                </c:pt>
              </c:strCache>
            </c:strRef>
          </c:cat>
          <c:val>
            <c:numRef>
              <c:f>'Top Cities by Revenue'!$B$4:$B$9</c:f>
              <c:numCache>
                <c:formatCode>"$"#,##0.00</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10-1FE6-4FAC-AF63-F29F1980AF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OLUOMACHI.xlsx]Top 6 Ship Cities by Revenue !PivotTable4</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6 Ship Cities by Revenue</a:t>
            </a:r>
            <a:endParaRPr lang="en-US">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50000"/>
            </a:schemeClr>
          </a:solidFill>
          <a:ln>
            <a:noFill/>
          </a:ln>
          <a:effectLst/>
        </c:spPr>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20000"/>
              <a:lumOff val="80000"/>
            </a:schemeClr>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50000"/>
            </a:schemeClr>
          </a:solidFill>
          <a:ln>
            <a:noFill/>
          </a:ln>
          <a:effectLst/>
        </c:spPr>
      </c:pivotFmt>
      <c:pivotFmt>
        <c:idx val="66"/>
        <c:spPr>
          <a:solidFill>
            <a:schemeClr val="accent5">
              <a:lumMod val="75000"/>
            </a:schemeClr>
          </a:solidFill>
          <a:ln>
            <a:noFill/>
          </a:ln>
          <a:effectLst/>
        </c:spPr>
      </c:pivotFmt>
      <c:pivotFmt>
        <c:idx val="67"/>
        <c:spPr>
          <a:solidFill>
            <a:schemeClr val="accent5">
              <a:lumMod val="60000"/>
              <a:lumOff val="40000"/>
            </a:schemeClr>
          </a:solidFill>
          <a:ln>
            <a:noFill/>
          </a:ln>
          <a:effectLst/>
        </c:spPr>
      </c:pivotFmt>
      <c:pivotFmt>
        <c:idx val="68"/>
        <c:spPr>
          <a:solidFill>
            <a:schemeClr val="accent5">
              <a:lumMod val="40000"/>
              <a:lumOff val="60000"/>
            </a:schemeClr>
          </a:solidFill>
          <a:ln>
            <a:noFill/>
          </a:ln>
          <a:effectLst/>
        </c:spPr>
      </c:pivotFmt>
      <c:pivotFmt>
        <c:idx val="69"/>
        <c:spPr>
          <a:solidFill>
            <a:schemeClr val="accent5">
              <a:lumMod val="20000"/>
              <a:lumOff val="80000"/>
            </a:schemeClr>
          </a:solidFill>
          <a:ln>
            <a:noFill/>
          </a:ln>
          <a:effectLst/>
        </c:spPr>
      </c:pivotFmt>
      <c:pivotFmt>
        <c:idx val="70"/>
        <c:spPr>
          <a:solidFill>
            <a:schemeClr val="accent5">
              <a:lumMod val="60000"/>
              <a:lumOff val="40000"/>
            </a:schemeClr>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5">
              <a:lumMod val="75000"/>
            </a:schemeClr>
          </a:solidFill>
          <a:ln>
            <a:noFill/>
          </a:ln>
          <a:effectLst/>
        </c:spPr>
      </c:pivotFmt>
    </c:pivotFmts>
    <c:plotArea>
      <c:layout/>
      <c:barChart>
        <c:barDir val="bar"/>
        <c:grouping val="clustered"/>
        <c:varyColors val="0"/>
        <c:ser>
          <c:idx val="0"/>
          <c:order val="0"/>
          <c:tx>
            <c:strRef>
              <c:f>'Top 6 Ship Cities by Revenue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B757-4B62-94F9-932CC76E6319}"/>
              </c:ext>
            </c:extLst>
          </c:dPt>
          <c:dPt>
            <c:idx val="1"/>
            <c:invertIfNegative val="0"/>
            <c:bubble3D val="0"/>
            <c:extLst>
              <c:ext xmlns:c16="http://schemas.microsoft.com/office/drawing/2014/chart" uri="{C3380CC4-5D6E-409C-BE32-E72D297353CC}">
                <c16:uniqueId val="{00000003-B757-4B62-94F9-932CC76E6319}"/>
              </c:ext>
            </c:extLst>
          </c:dPt>
          <c:dPt>
            <c:idx val="2"/>
            <c:invertIfNegative val="0"/>
            <c:bubble3D val="0"/>
            <c:extLst>
              <c:ext xmlns:c16="http://schemas.microsoft.com/office/drawing/2014/chart" uri="{C3380CC4-5D6E-409C-BE32-E72D297353CC}">
                <c16:uniqueId val="{00000005-B757-4B62-94F9-932CC76E6319}"/>
              </c:ext>
            </c:extLst>
          </c:dPt>
          <c:dPt>
            <c:idx val="3"/>
            <c:invertIfNegative val="0"/>
            <c:bubble3D val="0"/>
            <c:extLst>
              <c:ext xmlns:c16="http://schemas.microsoft.com/office/drawing/2014/chart" uri="{C3380CC4-5D6E-409C-BE32-E72D297353CC}">
                <c16:uniqueId val="{00000007-B757-4B62-94F9-932CC76E6319}"/>
              </c:ext>
            </c:extLst>
          </c:dPt>
          <c:dPt>
            <c:idx val="4"/>
            <c:invertIfNegative val="0"/>
            <c:bubble3D val="0"/>
            <c:extLst>
              <c:ext xmlns:c16="http://schemas.microsoft.com/office/drawing/2014/chart" uri="{C3380CC4-5D6E-409C-BE32-E72D297353CC}">
                <c16:uniqueId val="{00000009-B757-4B62-94F9-932CC76E6319}"/>
              </c:ext>
            </c:extLst>
          </c:dPt>
          <c:dPt>
            <c:idx val="5"/>
            <c:invertIfNegative val="0"/>
            <c:bubble3D val="0"/>
            <c:extLst>
              <c:ext xmlns:c16="http://schemas.microsoft.com/office/drawing/2014/chart" uri="{C3380CC4-5D6E-409C-BE32-E72D297353CC}">
                <c16:uniqueId val="{0000000A-B757-4B62-94F9-932CC76E6319}"/>
              </c:ext>
            </c:extLst>
          </c:dPt>
          <c:dPt>
            <c:idx val="6"/>
            <c:invertIfNegative val="0"/>
            <c:bubble3D val="0"/>
            <c:extLst>
              <c:ext xmlns:c16="http://schemas.microsoft.com/office/drawing/2014/chart" uri="{C3380CC4-5D6E-409C-BE32-E72D297353CC}">
                <c16:uniqueId val="{0000000B-B757-4B62-94F9-932CC76E6319}"/>
              </c:ext>
            </c:extLst>
          </c:dPt>
          <c:dPt>
            <c:idx val="7"/>
            <c:invertIfNegative val="0"/>
            <c:bubble3D val="0"/>
            <c:extLst>
              <c:ext xmlns:c16="http://schemas.microsoft.com/office/drawing/2014/chart" uri="{C3380CC4-5D6E-409C-BE32-E72D297353CC}">
                <c16:uniqueId val="{0000000C-B757-4B62-94F9-932CC76E6319}"/>
              </c:ext>
            </c:extLst>
          </c:dPt>
          <c:dPt>
            <c:idx val="8"/>
            <c:invertIfNegative val="0"/>
            <c:bubble3D val="0"/>
            <c:extLst>
              <c:ext xmlns:c16="http://schemas.microsoft.com/office/drawing/2014/chart" uri="{C3380CC4-5D6E-409C-BE32-E72D297353CC}">
                <c16:uniqueId val="{0000000D-B757-4B62-94F9-932CC76E6319}"/>
              </c:ext>
            </c:extLst>
          </c:dPt>
          <c:dPt>
            <c:idx val="9"/>
            <c:invertIfNegative val="0"/>
            <c:bubble3D val="0"/>
            <c:extLst>
              <c:ext xmlns:c16="http://schemas.microsoft.com/office/drawing/2014/chart" uri="{C3380CC4-5D6E-409C-BE32-E72D297353CC}">
                <c16:uniqueId val="{0000000E-B757-4B62-94F9-932CC76E63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 '!$A$4:$A$10</c:f>
              <c:strCache>
                <c:ptCount val="6"/>
                <c:pt idx="0">
                  <c:v>New York</c:v>
                </c:pt>
                <c:pt idx="1">
                  <c:v>Portland</c:v>
                </c:pt>
                <c:pt idx="2">
                  <c:v>Miami</c:v>
                </c:pt>
                <c:pt idx="3">
                  <c:v>Memphis</c:v>
                </c:pt>
                <c:pt idx="4">
                  <c:v>Chicago</c:v>
                </c:pt>
                <c:pt idx="5">
                  <c:v>Milwaukee</c:v>
                </c:pt>
              </c:strCache>
            </c:strRef>
          </c:cat>
          <c:val>
            <c:numRef>
              <c:f>'Top 6 Ship Cities by Revenue '!$B$4:$B$10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F-B757-4B62-94F9-932CC76E6319}"/>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 Trend Report!PivotTable4</c:name>
    <c:fmtId val="8"/>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solidFill>
                  <a:schemeClr val="accent5">
                    <a:lumMod val="50000"/>
                  </a:schemeClr>
                </a:solidFill>
                <a:latin typeface="Garamond" panose="02020404030301010803" pitchFamily="18" charset="0"/>
              </a:rPr>
              <a:t>Sales</a:t>
            </a:r>
            <a:r>
              <a:rPr lang="en-US" baseline="0">
                <a:solidFill>
                  <a:schemeClr val="accent5">
                    <a:lumMod val="50000"/>
                  </a:schemeClr>
                </a:solidFill>
                <a:latin typeface="Garamond" panose="02020404030301010803" pitchFamily="18" charset="0"/>
              </a:rPr>
              <a:t> Trend Report</a:t>
            </a:r>
            <a:endParaRPr lang="en-US">
              <a:solidFill>
                <a:schemeClr val="accent5">
                  <a:lumMod val="50000"/>
                </a:schemeClr>
              </a:solidFill>
              <a:latin typeface="Garamond" panose="02020404030301010803" pitchFamily="18"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pivotFmt>
      <c:pivotFmt>
        <c:idx val="72"/>
        <c:spPr>
          <a:solidFill>
            <a:schemeClr val="accent1"/>
          </a:solidFill>
          <a:ln w="28575" cap="rnd">
            <a:solidFill>
              <a:schemeClr val="accent1"/>
            </a:solidFill>
            <a:round/>
          </a:ln>
          <a:effectLst/>
        </c:spPr>
        <c:marker>
          <c:symbol val="none"/>
        </c:marker>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pivotFmt>
      <c:pivotFmt>
        <c:idx val="75"/>
        <c:spPr>
          <a:ln w="28575" cap="rnd">
            <a:solidFill>
              <a:schemeClr val="accent1"/>
            </a:solidFill>
            <a:round/>
          </a:ln>
          <a:effectLst/>
        </c:spPr>
        <c:marker>
          <c:symbol val="none"/>
        </c:marker>
      </c:pivotFmt>
      <c:pivotFmt>
        <c:idx val="76"/>
        <c:spPr>
          <a:ln w="28575" cap="rnd">
            <a:solidFill>
              <a:schemeClr val="accent1"/>
            </a:solidFill>
            <a:round/>
          </a:ln>
          <a:effectLst/>
        </c:spPr>
        <c:marker>
          <c:symbol val="none"/>
        </c:marker>
      </c:pivotFmt>
      <c:pivotFmt>
        <c:idx val="77"/>
        <c:spPr>
          <a:ln w="28575" cap="rnd">
            <a:solidFill>
              <a:schemeClr val="accent1"/>
            </a:solidFill>
            <a:round/>
          </a:ln>
          <a:effectLst/>
        </c:spPr>
        <c:marker>
          <c:symbol val="none"/>
        </c:marker>
      </c:pivotFmt>
      <c:pivotFmt>
        <c:idx val="78"/>
        <c:spPr>
          <a:ln w="28575" cap="rnd">
            <a:solidFill>
              <a:schemeClr val="accent1"/>
            </a:solidFill>
            <a:round/>
          </a:ln>
          <a:effectLst/>
        </c:spPr>
        <c:marker>
          <c:symbol val="none"/>
        </c:marker>
      </c:pivotFmt>
      <c:pivotFmt>
        <c:idx val="79"/>
        <c:spPr>
          <a:ln w="28575" cap="rnd">
            <a:solidFill>
              <a:schemeClr val="accent1"/>
            </a:solidFill>
            <a:round/>
          </a:ln>
          <a:effectLst/>
        </c:spPr>
        <c:marker>
          <c:symbol val="none"/>
        </c:marker>
      </c:pivotFmt>
      <c:pivotFmt>
        <c:idx val="80"/>
        <c:spPr>
          <a:ln w="28575" cap="rnd">
            <a:solidFill>
              <a:schemeClr val="accent1"/>
            </a:solidFill>
            <a:round/>
          </a:ln>
          <a:effectLst/>
        </c:spPr>
        <c:marker>
          <c:symbol val="none"/>
        </c:marker>
      </c:pivotFmt>
      <c:pivotFmt>
        <c:idx val="81"/>
        <c:spPr>
          <a:ln w="28575" cap="rnd">
            <a:solidFill>
              <a:schemeClr val="accent1"/>
            </a:solidFill>
            <a:round/>
          </a:ln>
          <a:effectLst/>
        </c:spPr>
        <c:marker>
          <c:symbol val="none"/>
        </c:marker>
      </c:pivotFmt>
      <c:pivotFmt>
        <c:idx val="82"/>
        <c:spPr>
          <a:ln w="28575" cap="rnd">
            <a:solidFill>
              <a:schemeClr val="accent1"/>
            </a:solidFill>
            <a:round/>
          </a:ln>
          <a:effectLst/>
        </c:spPr>
        <c:marker>
          <c:symbol val="none"/>
        </c:marker>
      </c:pivotFmt>
      <c:pivotFmt>
        <c:idx val="83"/>
        <c:spPr>
          <a:ln w="28575" cap="rnd">
            <a:solidFill>
              <a:schemeClr val="accent1"/>
            </a:solidFill>
            <a:round/>
          </a:ln>
          <a:effectLst/>
        </c:spPr>
        <c:marker>
          <c:symbol val="none"/>
        </c:marker>
      </c:pivotFmt>
      <c:pivotFmt>
        <c:idx val="84"/>
        <c:spPr>
          <a:ln w="28575" cap="rnd">
            <a:solidFill>
              <a:schemeClr val="accent1"/>
            </a:solidFill>
            <a:round/>
          </a:ln>
          <a:effectLst/>
        </c:spPr>
        <c:marker>
          <c:symbol val="none"/>
        </c:marker>
      </c:pivotFmt>
      <c:pivotFmt>
        <c:idx val="85"/>
        <c:spPr>
          <a:ln w="28575" cap="rnd">
            <a:solidFill>
              <a:schemeClr val="accent1"/>
            </a:solidFill>
            <a:round/>
          </a:ln>
          <a:effectLst/>
        </c:spPr>
        <c:marker>
          <c:symbol val="none"/>
        </c:marker>
      </c:pivotFmt>
    </c:pivotFmts>
    <c:plotArea>
      <c:layout/>
      <c:lineChart>
        <c:grouping val="standard"/>
        <c:varyColors val="0"/>
        <c:ser>
          <c:idx val="0"/>
          <c:order val="0"/>
          <c:tx>
            <c:strRef>
              <c:f>'Sales Trend Report'!$B$3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D52D-4C20-A1CD-77FF7A9BA8F7}"/>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D52D-4C20-A1CD-77FF7A9BA8F7}"/>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D52D-4C20-A1CD-77FF7A9BA8F7}"/>
              </c:ext>
            </c:extLst>
          </c:dPt>
          <c:dPt>
            <c:idx val="3"/>
            <c:marker>
              <c:symbol val="none"/>
            </c:marker>
            <c:bubble3D val="0"/>
            <c:extLst>
              <c:ext xmlns:c16="http://schemas.microsoft.com/office/drawing/2014/chart" uri="{C3380CC4-5D6E-409C-BE32-E72D297353CC}">
                <c16:uniqueId val="{00000007-D52D-4C20-A1CD-77FF7A9BA8F7}"/>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D52D-4C20-A1CD-77FF7A9BA8F7}"/>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D52D-4C20-A1CD-77FF7A9BA8F7}"/>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D52D-4C20-A1CD-77FF7A9BA8F7}"/>
              </c:ext>
            </c:extLst>
          </c:dPt>
          <c:dPt>
            <c:idx val="7"/>
            <c:marker>
              <c:symbol val="none"/>
            </c:marker>
            <c:bubble3D val="0"/>
            <c:extLst>
              <c:ext xmlns:c16="http://schemas.microsoft.com/office/drawing/2014/chart" uri="{C3380CC4-5D6E-409C-BE32-E72D297353CC}">
                <c16:uniqueId val="{0000000F-D52D-4C20-A1CD-77FF7A9BA8F7}"/>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11-D52D-4C20-A1CD-77FF7A9BA8F7}"/>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3-D52D-4C20-A1CD-77FF7A9BA8F7}"/>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2-3E5A-4CFE-B527-9F326364A141}"/>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4-3E5A-4CFE-B527-9F326364A1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55601.610000000008</c:v>
                </c:pt>
                <c:pt idx="6">
                  <c:v>27318.539999999997</c:v>
                </c:pt>
                <c:pt idx="7">
                  <c:v>29921.459999999995</c:v>
                </c:pt>
                <c:pt idx="8">
                  <c:v>31949.970000000005</c:v>
                </c:pt>
                <c:pt idx="9">
                  <c:v>53033.59</c:v>
                </c:pt>
                <c:pt idx="10">
                  <c:v>31773.429999999997</c:v>
                </c:pt>
                <c:pt idx="11">
                  <c:v>66642.78</c:v>
                </c:pt>
              </c:numCache>
            </c:numRef>
          </c:val>
          <c:smooth val="0"/>
          <c:extLst>
            <c:ext xmlns:c16="http://schemas.microsoft.com/office/drawing/2014/chart" uri="{C3380CC4-5D6E-409C-BE32-E72D297353CC}">
              <c16:uniqueId val="{00000014-D52D-4C20-A1CD-77FF7A9BA8F7}"/>
            </c:ext>
          </c:extLst>
        </c:ser>
        <c:dLbls>
          <c:dLblPos val="t"/>
          <c:showLegendKey val="0"/>
          <c:showVal val="1"/>
          <c:showCatName val="0"/>
          <c:showSerName val="0"/>
          <c:showPercent val="0"/>
          <c:showBubbleSize val="0"/>
        </c:dLbls>
        <c:smooth val="0"/>
        <c:axId val="324189592"/>
        <c:axId val="324203632"/>
      </c:lineChart>
      <c:catAx>
        <c:axId val="32418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OLUOMACHI.xlsx]Top 6 Ship Cities by Revenue !PivotTable4</c:name>
    <c:fmtId val="12"/>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Top</a:t>
            </a:r>
            <a:r>
              <a:rPr lang="en-US" baseline="0">
                <a:solidFill>
                  <a:schemeClr val="accent5">
                    <a:lumMod val="50000"/>
                  </a:schemeClr>
                </a:solidFill>
                <a:latin typeface="Garamond" panose="02020404030301010803" pitchFamily="18" charset="0"/>
              </a:rPr>
              <a:t> 6 Ship Cities by Revenue</a:t>
            </a:r>
            <a:endParaRPr lang="en-US">
              <a:solidFill>
                <a:schemeClr val="accent5">
                  <a:lumMod val="50000"/>
                </a:schemeClr>
              </a:solidFill>
              <a:latin typeface="Garamond" panose="02020404030301010803" pitchFamily="18"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60000"/>
              <a:lumOff val="40000"/>
            </a:schemeClr>
          </a:solidFill>
          <a:ln>
            <a:noFill/>
          </a:ln>
          <a:effectLst/>
        </c:spPr>
      </c:pivotFmt>
      <c:pivotFmt>
        <c:idx val="59"/>
        <c:spPr>
          <a:solidFill>
            <a:schemeClr val="accent5">
              <a:lumMod val="50000"/>
            </a:schemeClr>
          </a:solidFill>
          <a:ln>
            <a:noFill/>
          </a:ln>
          <a:effectLst/>
        </c:spPr>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20000"/>
              <a:lumOff val="80000"/>
            </a:schemeClr>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50000"/>
            </a:schemeClr>
          </a:solidFill>
          <a:ln>
            <a:noFill/>
          </a:ln>
          <a:effectLst/>
        </c:spPr>
      </c:pivotFmt>
      <c:pivotFmt>
        <c:idx val="66"/>
        <c:spPr>
          <a:solidFill>
            <a:schemeClr val="accent5">
              <a:lumMod val="75000"/>
            </a:schemeClr>
          </a:solidFill>
          <a:ln>
            <a:noFill/>
          </a:ln>
          <a:effectLst/>
        </c:spPr>
      </c:pivotFmt>
      <c:pivotFmt>
        <c:idx val="67"/>
        <c:spPr>
          <a:solidFill>
            <a:schemeClr val="accent5">
              <a:lumMod val="60000"/>
              <a:lumOff val="40000"/>
            </a:schemeClr>
          </a:solidFill>
          <a:ln>
            <a:noFill/>
          </a:ln>
          <a:effectLst/>
        </c:spPr>
      </c:pivotFmt>
      <c:pivotFmt>
        <c:idx val="68"/>
        <c:spPr>
          <a:solidFill>
            <a:schemeClr val="accent5">
              <a:lumMod val="40000"/>
              <a:lumOff val="60000"/>
            </a:schemeClr>
          </a:solidFill>
          <a:ln>
            <a:noFill/>
          </a:ln>
          <a:effectLst/>
        </c:spPr>
      </c:pivotFmt>
      <c:pivotFmt>
        <c:idx val="69"/>
        <c:spPr>
          <a:solidFill>
            <a:schemeClr val="accent5">
              <a:lumMod val="20000"/>
              <a:lumOff val="80000"/>
            </a:schemeClr>
          </a:solidFill>
          <a:ln>
            <a:noFill/>
          </a:ln>
          <a:effectLst/>
        </c:spPr>
      </c:pivotFmt>
      <c:pivotFmt>
        <c:idx val="70"/>
        <c:spPr>
          <a:solidFill>
            <a:schemeClr val="accent5">
              <a:lumMod val="50000"/>
            </a:schemeClr>
          </a:solidFill>
          <a:ln>
            <a:noFill/>
          </a:ln>
          <a:effectLst/>
        </c:spPr>
      </c:pivotFmt>
      <c:pivotFmt>
        <c:idx val="71"/>
        <c:spPr>
          <a:solidFill>
            <a:schemeClr val="accent5">
              <a:lumMod val="75000"/>
            </a:schemeClr>
          </a:solidFill>
          <a:ln>
            <a:noFill/>
          </a:ln>
          <a:effectLst/>
        </c:spPr>
      </c:pivotFmt>
      <c:pivotFmt>
        <c:idx val="72"/>
        <c:spPr>
          <a:solidFill>
            <a:schemeClr val="accent5">
              <a:lumMod val="60000"/>
              <a:lumOff val="40000"/>
            </a:schemeClr>
          </a:solidFill>
          <a:ln>
            <a:noFill/>
          </a:ln>
          <a:effectLst/>
        </c:spPr>
      </c:pivotFmt>
      <c:pivotFmt>
        <c:idx val="73"/>
        <c:spPr>
          <a:solidFill>
            <a:schemeClr val="accent5">
              <a:lumMod val="60000"/>
              <a:lumOff val="40000"/>
            </a:schemeClr>
          </a:solidFill>
          <a:ln>
            <a:noFill/>
          </a:ln>
          <a:effectLst/>
        </c:spPr>
      </c:pivotFmt>
      <c:pivotFmt>
        <c:idx val="74"/>
        <c:spPr>
          <a:solidFill>
            <a:schemeClr val="accent5">
              <a:lumMod val="40000"/>
              <a:lumOff val="60000"/>
            </a:schemeClr>
          </a:solidFill>
          <a:ln>
            <a:noFill/>
          </a:ln>
          <a:effectLst/>
        </c:spPr>
      </c:pivotFmt>
      <c:pivotFmt>
        <c:idx val="75"/>
        <c:spPr>
          <a:solidFill>
            <a:schemeClr val="accent5">
              <a:lumMod val="20000"/>
              <a:lumOff val="80000"/>
            </a:schemeClr>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5">
              <a:lumMod val="50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60000"/>
              <a:lumOff val="40000"/>
            </a:schemeClr>
          </a:solidFill>
          <a:ln>
            <a:noFill/>
          </a:ln>
          <a:effectLst/>
        </c:spPr>
      </c:pivotFmt>
      <c:pivotFmt>
        <c:idx val="81"/>
        <c:spPr>
          <a:solidFill>
            <a:schemeClr val="accent5">
              <a:lumMod val="40000"/>
              <a:lumOff val="60000"/>
            </a:schemeClr>
          </a:solidFill>
          <a:ln>
            <a:noFill/>
          </a:ln>
          <a:effectLst/>
        </c:spPr>
      </c:pivotFmt>
      <c:pivotFmt>
        <c:idx val="82"/>
        <c:spPr>
          <a:solidFill>
            <a:schemeClr val="accent5">
              <a:lumMod val="20000"/>
              <a:lumOff val="80000"/>
            </a:schemeClr>
          </a:solidFill>
          <a:ln>
            <a:noFill/>
          </a:ln>
          <a:effectLst/>
        </c:spPr>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5">
              <a:lumMod val="50000"/>
            </a:schemeClr>
          </a:solidFill>
          <a:ln>
            <a:noFill/>
          </a:ln>
          <a:effectLst/>
        </c:spPr>
      </c:pivotFmt>
      <c:pivotFmt>
        <c:idx val="85"/>
        <c:spPr>
          <a:solidFill>
            <a:schemeClr val="accent5">
              <a:lumMod val="75000"/>
            </a:schemeClr>
          </a:solidFill>
          <a:ln>
            <a:noFill/>
          </a:ln>
          <a:effectLst/>
        </c:spPr>
      </c:pivotFmt>
      <c:pivotFmt>
        <c:idx val="86"/>
        <c:spPr>
          <a:solidFill>
            <a:schemeClr val="accent5">
              <a:lumMod val="60000"/>
              <a:lumOff val="40000"/>
            </a:schemeClr>
          </a:solidFill>
          <a:ln>
            <a:noFill/>
          </a:ln>
          <a:effectLst/>
        </c:spPr>
      </c:pivotFmt>
      <c:pivotFmt>
        <c:idx val="87"/>
        <c:spPr>
          <a:solidFill>
            <a:schemeClr val="accent5">
              <a:lumMod val="60000"/>
              <a:lumOff val="4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20000"/>
              <a:lumOff val="80000"/>
            </a:schemeClr>
          </a:solidFill>
          <a:ln>
            <a:noFill/>
          </a:ln>
          <a:effectLst/>
        </c:spPr>
      </c:pivotFmt>
    </c:pivotFmts>
    <c:plotArea>
      <c:layout/>
      <c:barChart>
        <c:barDir val="bar"/>
        <c:grouping val="clustered"/>
        <c:varyColors val="0"/>
        <c:ser>
          <c:idx val="0"/>
          <c:order val="0"/>
          <c:tx>
            <c:strRef>
              <c:f>'Top 6 Ship Cities by Revenue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923-415C-A99C-09126F5F03B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1923-415C-A99C-09126F5F03B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923-415C-A99C-09126F5F03B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1923-415C-A99C-09126F5F03B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1923-415C-A99C-09126F5F03B8}"/>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1923-415C-A99C-09126F5F03B8}"/>
              </c:ext>
            </c:extLst>
          </c:dPt>
          <c:dPt>
            <c:idx val="6"/>
            <c:invertIfNegative val="0"/>
            <c:bubble3D val="0"/>
            <c:extLst>
              <c:ext xmlns:c16="http://schemas.microsoft.com/office/drawing/2014/chart" uri="{C3380CC4-5D6E-409C-BE32-E72D297353CC}">
                <c16:uniqueId val="{0000000C-1923-415C-A99C-09126F5F03B8}"/>
              </c:ext>
            </c:extLst>
          </c:dPt>
          <c:dPt>
            <c:idx val="7"/>
            <c:invertIfNegative val="0"/>
            <c:bubble3D val="0"/>
            <c:extLst>
              <c:ext xmlns:c16="http://schemas.microsoft.com/office/drawing/2014/chart" uri="{C3380CC4-5D6E-409C-BE32-E72D297353CC}">
                <c16:uniqueId val="{0000000D-1923-415C-A99C-09126F5F03B8}"/>
              </c:ext>
            </c:extLst>
          </c:dPt>
          <c:dPt>
            <c:idx val="8"/>
            <c:invertIfNegative val="0"/>
            <c:bubble3D val="0"/>
            <c:extLst>
              <c:ext xmlns:c16="http://schemas.microsoft.com/office/drawing/2014/chart" uri="{C3380CC4-5D6E-409C-BE32-E72D297353CC}">
                <c16:uniqueId val="{0000000E-1923-415C-A99C-09126F5F03B8}"/>
              </c:ext>
            </c:extLst>
          </c:dPt>
          <c:dPt>
            <c:idx val="9"/>
            <c:invertIfNegative val="0"/>
            <c:bubble3D val="0"/>
            <c:extLst>
              <c:ext xmlns:c16="http://schemas.microsoft.com/office/drawing/2014/chart" uri="{C3380CC4-5D6E-409C-BE32-E72D297353CC}">
                <c16:uniqueId val="{0000000F-1923-415C-A99C-09126F5F03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 '!$A$4:$A$10</c:f>
              <c:strCache>
                <c:ptCount val="6"/>
                <c:pt idx="0">
                  <c:v>New York</c:v>
                </c:pt>
                <c:pt idx="1">
                  <c:v>Portland</c:v>
                </c:pt>
                <c:pt idx="2">
                  <c:v>Miami</c:v>
                </c:pt>
                <c:pt idx="3">
                  <c:v>Memphis</c:v>
                </c:pt>
                <c:pt idx="4">
                  <c:v>Chicago</c:v>
                </c:pt>
                <c:pt idx="5">
                  <c:v>Milwaukee</c:v>
                </c:pt>
              </c:strCache>
            </c:strRef>
          </c:cat>
          <c:val>
            <c:numRef>
              <c:f>'Top 6 Ship Cities by Revenue '!$B$4:$B$10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10-1923-415C-A99C-09126F5F03B8}"/>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OLUOMACHI.xlsx]Transaction By Amount!PivotTable4</c:name>
    <c:fmtId val="12"/>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Transaction</a:t>
            </a:r>
            <a:r>
              <a:rPr lang="en-US" baseline="0">
                <a:solidFill>
                  <a:schemeClr val="accent5">
                    <a:lumMod val="50000"/>
                  </a:schemeClr>
                </a:solidFill>
                <a:latin typeface="Garamond" panose="02020404030301010803" pitchFamily="18" charset="0"/>
              </a:rPr>
              <a:t> by Amount</a:t>
            </a:r>
            <a:endParaRPr lang="en-US">
              <a:solidFill>
                <a:schemeClr val="accent5">
                  <a:lumMod val="50000"/>
                </a:schemeClr>
              </a:solidFill>
              <a:latin typeface="Garamond" panose="02020404030301010803" pitchFamily="18" charset="0"/>
            </a:endParaRPr>
          </a:p>
        </c:rich>
      </c:tx>
      <c:layout>
        <c:manualLayout>
          <c:xMode val="edge"/>
          <c:yMode val="edge"/>
          <c:x val="0.26745326884900805"/>
          <c:y val="4.1025641025641026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
        <c:idx val="62"/>
        <c:marker>
          <c:symbol val="none"/>
        </c:marker>
      </c:pivotFmt>
      <c:pivotFmt>
        <c:idx val="63"/>
        <c:spPr>
          <a:solidFill>
            <a:schemeClr val="accent5">
              <a:lumMod val="50000"/>
            </a:schemeClr>
          </a:solidFill>
          <a:ln>
            <a:noFill/>
          </a:ln>
          <a:effectLst/>
        </c:spPr>
      </c:pivotFmt>
      <c:pivotFmt>
        <c:idx val="64"/>
        <c:spPr>
          <a:solidFill>
            <a:schemeClr val="accent5">
              <a:lumMod val="75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40000"/>
              <a:lumOff val="60000"/>
            </a:schemeClr>
          </a:solidFill>
          <a:ln>
            <a:noFill/>
          </a:ln>
          <a:effectLst/>
        </c:spPr>
      </c:pivotFmt>
      <c:pivotFmt>
        <c:idx val="67"/>
        <c:spPr>
          <a:solidFill>
            <a:schemeClr val="accent5">
              <a:lumMod val="20000"/>
              <a:lumOff val="80000"/>
            </a:schemeClr>
          </a:solidFill>
          <a:ln>
            <a:noFill/>
          </a:ln>
          <a:effectLst/>
        </c:spPr>
      </c:pivotFmt>
      <c:pivotFmt>
        <c:idx val="68"/>
        <c:spPr>
          <a:solidFill>
            <a:schemeClr val="accent5">
              <a:lumMod val="50000"/>
            </a:schemeClr>
          </a:solidFill>
          <a:ln>
            <a:noFill/>
          </a:ln>
          <a:effectLst/>
        </c:spPr>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lumMod val="50000"/>
            </a:schemeClr>
          </a:solidFill>
          <a:ln>
            <a:noFill/>
          </a:ln>
          <a:effectLst/>
        </c:spPr>
      </c:pivotFmt>
      <c:pivotFmt>
        <c:idx val="71"/>
        <c:spPr>
          <a:solidFill>
            <a:schemeClr val="accent5">
              <a:lumMod val="75000"/>
            </a:schemeClr>
          </a:solidFill>
          <a:ln>
            <a:noFill/>
          </a:ln>
          <a:effectLst/>
        </c:spPr>
      </c:pivotFmt>
      <c:pivotFmt>
        <c:idx val="72"/>
        <c:spPr>
          <a:solidFill>
            <a:schemeClr val="accent5">
              <a:lumMod val="60000"/>
              <a:lumOff val="40000"/>
            </a:schemeClr>
          </a:solidFill>
          <a:ln>
            <a:noFill/>
          </a:ln>
          <a:effectLst/>
        </c:spPr>
      </c:pivotFmt>
      <c:pivotFmt>
        <c:idx val="73"/>
        <c:spPr>
          <a:solidFill>
            <a:schemeClr val="accent5">
              <a:lumMod val="40000"/>
              <a:lumOff val="60000"/>
            </a:schemeClr>
          </a:solidFill>
          <a:ln>
            <a:noFill/>
          </a:ln>
          <a:effectLst/>
        </c:spPr>
      </c:pivotFmt>
      <c:pivotFmt>
        <c:idx val="74"/>
        <c:spPr>
          <a:solidFill>
            <a:schemeClr val="accent5">
              <a:lumMod val="20000"/>
              <a:lumOff val="80000"/>
            </a:schemeClr>
          </a:solidFill>
          <a:ln>
            <a:noFill/>
          </a:ln>
          <a:effectLst/>
        </c:spPr>
      </c:pivotFmt>
      <c:pivotFmt>
        <c:idx val="75"/>
        <c:spPr>
          <a:solidFill>
            <a:schemeClr val="accent5">
              <a:lumMod val="50000"/>
            </a:schemeClr>
          </a:solidFill>
          <a:ln>
            <a:noFill/>
          </a:ln>
          <a:effectLst/>
        </c:spPr>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5">
              <a:lumMod val="50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60000"/>
              <a:lumOff val="40000"/>
            </a:schemeClr>
          </a:solidFill>
          <a:ln>
            <a:noFill/>
          </a:ln>
          <a:effectLst/>
        </c:spPr>
      </c:pivotFmt>
      <c:pivotFmt>
        <c:idx val="80"/>
        <c:spPr>
          <a:solidFill>
            <a:schemeClr val="accent5">
              <a:lumMod val="40000"/>
              <a:lumOff val="60000"/>
            </a:schemeClr>
          </a:solidFill>
          <a:ln>
            <a:noFill/>
          </a:ln>
          <a:effectLst/>
        </c:spPr>
      </c:pivotFmt>
      <c:pivotFmt>
        <c:idx val="81"/>
        <c:spPr>
          <a:solidFill>
            <a:schemeClr val="accent5">
              <a:lumMod val="20000"/>
              <a:lumOff val="80000"/>
            </a:schemeClr>
          </a:solidFill>
          <a:ln>
            <a:noFill/>
          </a:ln>
          <a:effectLst/>
        </c:spPr>
      </c:pivotFmt>
      <c:pivotFmt>
        <c:idx val="82"/>
        <c:spPr>
          <a:solidFill>
            <a:schemeClr val="accent5">
              <a:lumMod val="50000"/>
            </a:schemeClr>
          </a:solidFill>
          <a:ln>
            <a:noFill/>
          </a:ln>
          <a:effectLst/>
        </c:spPr>
      </c:pivotFmt>
    </c:pivotFmts>
    <c:plotArea>
      <c:layout>
        <c:manualLayout>
          <c:layoutTarget val="inner"/>
          <c:xMode val="edge"/>
          <c:yMode val="edge"/>
          <c:x val="3.3434658457903561E-2"/>
          <c:y val="0.30752667342194673"/>
          <c:w val="0.93313068308419289"/>
          <c:h val="0.49291847063349714"/>
        </c:manualLayout>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2E5-4B67-AD14-C53E9E5503EB}"/>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2E5-4B67-AD14-C53E9E5503EB}"/>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A2E5-4B67-AD14-C53E9E5503EB}"/>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A2E5-4B67-AD14-C53E9E5503EB}"/>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A2E5-4B67-AD14-C53E9E5503EB}"/>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B-A2E5-4B67-AD14-C53E9E5503EB}"/>
              </c:ext>
            </c:extLst>
          </c:dPt>
          <c:dPt>
            <c:idx val="6"/>
            <c:invertIfNegative val="0"/>
            <c:bubble3D val="0"/>
            <c:extLst>
              <c:ext xmlns:c16="http://schemas.microsoft.com/office/drawing/2014/chart" uri="{C3380CC4-5D6E-409C-BE32-E72D297353CC}">
                <c16:uniqueId val="{0000000C-A2E5-4B67-AD14-C53E9E5503EB}"/>
              </c:ext>
            </c:extLst>
          </c:dPt>
          <c:dPt>
            <c:idx val="7"/>
            <c:invertIfNegative val="0"/>
            <c:bubble3D val="0"/>
            <c:extLst>
              <c:ext xmlns:c16="http://schemas.microsoft.com/office/drawing/2014/chart" uri="{C3380CC4-5D6E-409C-BE32-E72D297353CC}">
                <c16:uniqueId val="{0000000D-A2E5-4B67-AD14-C53E9E5503EB}"/>
              </c:ext>
            </c:extLst>
          </c:dPt>
          <c:dPt>
            <c:idx val="8"/>
            <c:invertIfNegative val="0"/>
            <c:bubble3D val="0"/>
            <c:extLst>
              <c:ext xmlns:c16="http://schemas.microsoft.com/office/drawing/2014/chart" uri="{C3380CC4-5D6E-409C-BE32-E72D297353CC}">
                <c16:uniqueId val="{0000000E-A2E5-4B67-AD14-C53E9E5503EB}"/>
              </c:ext>
            </c:extLst>
          </c:dPt>
          <c:dPt>
            <c:idx val="9"/>
            <c:invertIfNegative val="0"/>
            <c:bubble3D val="0"/>
            <c:extLst>
              <c:ext xmlns:c16="http://schemas.microsoft.com/office/drawing/2014/chart" uri="{C3380CC4-5D6E-409C-BE32-E72D297353CC}">
                <c16:uniqueId val="{0000000F-A2E5-4B67-AD14-C53E9E5503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10-A2E5-4B67-AD14-C53E9E5503EB}"/>
            </c:ext>
          </c:extLst>
        </c:ser>
        <c:dLbls>
          <c:dLblPos val="outEnd"/>
          <c:showLegendKey val="0"/>
          <c:showVal val="1"/>
          <c:showCatName val="0"/>
          <c:showSerName val="0"/>
          <c:showPercent val="0"/>
          <c:showBubbleSize val="0"/>
        </c:dLbls>
        <c:gapWidth val="20"/>
        <c:axId val="324189592"/>
        <c:axId val="324203632"/>
      </c:barChart>
      <c:catAx>
        <c:axId val="324189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 By Product Category!PivotTable4</c:name>
    <c:fmtId val="6"/>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Sales</a:t>
            </a:r>
            <a:r>
              <a:rPr lang="en-US" baseline="0">
                <a:solidFill>
                  <a:schemeClr val="accent5">
                    <a:lumMod val="50000"/>
                  </a:schemeClr>
                </a:solidFill>
                <a:latin typeface="Garamond" panose="02020404030301010803" pitchFamily="18" charset="0"/>
              </a:rPr>
              <a:t> by Product Category</a:t>
            </a:r>
            <a:endParaRPr lang="en-US">
              <a:solidFill>
                <a:schemeClr val="accent5">
                  <a:lumMod val="50000"/>
                </a:schemeClr>
              </a:solidFill>
              <a:latin typeface="Garamond" panose="02020404030301010803" pitchFamily="18"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75000"/>
            </a:schemeClr>
          </a:solidFill>
          <a:ln>
            <a:noFill/>
          </a:ln>
          <a:effectLst/>
        </c:spPr>
      </c:pivotFmt>
      <c:pivotFmt>
        <c:idx val="42"/>
        <c:spPr>
          <a:solidFill>
            <a:schemeClr val="accent5">
              <a:lumMod val="60000"/>
              <a:lumOff val="4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60000"/>
              <a:lumOff val="40000"/>
            </a:schemeClr>
          </a:solidFill>
          <a:ln>
            <a:noFill/>
          </a:ln>
          <a:effectLst/>
        </c:spPr>
      </c:pivotFmt>
      <c:pivotFmt>
        <c:idx val="50"/>
        <c:spPr>
          <a:solidFill>
            <a:schemeClr val="accent5">
              <a:lumMod val="40000"/>
              <a:lumOff val="6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a:noFill/>
          </a:ln>
          <a:effectLst/>
        </c:spPr>
      </c:pivotFmt>
      <c:pivotFmt>
        <c:idx val="54"/>
        <c:spPr>
          <a:solidFill>
            <a:schemeClr val="accent5">
              <a:lumMod val="75000"/>
            </a:schemeClr>
          </a:solidFill>
          <a:ln>
            <a:noFill/>
          </a:ln>
          <a:effectLst/>
        </c:spPr>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60000"/>
              <a:lumOff val="4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315A-494F-98CB-A62AA98CCCA8}"/>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15A-494F-98CB-A62AA98CCCA8}"/>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315A-494F-98CB-A62AA98CCCA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315A-494F-98CB-A62AA98CCCA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315A-494F-98CB-A62AA98CCCA8}"/>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315A-494F-98CB-A62AA98CCCA8}"/>
              </c:ext>
            </c:extLst>
          </c:dPt>
          <c:dPt>
            <c:idx val="6"/>
            <c:invertIfNegative val="0"/>
            <c:bubble3D val="0"/>
            <c:extLst>
              <c:ext xmlns:c16="http://schemas.microsoft.com/office/drawing/2014/chart" uri="{C3380CC4-5D6E-409C-BE32-E72D297353CC}">
                <c16:uniqueId val="{0000000C-315A-494F-98CB-A62AA98CCCA8}"/>
              </c:ext>
            </c:extLst>
          </c:dPt>
          <c:dPt>
            <c:idx val="7"/>
            <c:invertIfNegative val="0"/>
            <c:bubble3D val="0"/>
            <c:extLst>
              <c:ext xmlns:c16="http://schemas.microsoft.com/office/drawing/2014/chart" uri="{C3380CC4-5D6E-409C-BE32-E72D297353CC}">
                <c16:uniqueId val="{0000000D-315A-494F-98CB-A62AA98CCCA8}"/>
              </c:ext>
            </c:extLst>
          </c:dPt>
          <c:dPt>
            <c:idx val="8"/>
            <c:invertIfNegative val="0"/>
            <c:bubble3D val="0"/>
            <c:extLst>
              <c:ext xmlns:c16="http://schemas.microsoft.com/office/drawing/2014/chart" uri="{C3380CC4-5D6E-409C-BE32-E72D297353CC}">
                <c16:uniqueId val="{0000000E-315A-494F-98CB-A62AA98CCCA8}"/>
              </c:ext>
            </c:extLst>
          </c:dPt>
          <c:dPt>
            <c:idx val="9"/>
            <c:invertIfNegative val="0"/>
            <c:bubble3D val="0"/>
            <c:extLst>
              <c:ext xmlns:c16="http://schemas.microsoft.com/office/drawing/2014/chart" uri="{C3380CC4-5D6E-409C-BE32-E72D297353CC}">
                <c16:uniqueId val="{0000000F-315A-494F-98CB-A62AA98CCC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"$"#,##0.00</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10-315A-494F-98CB-A62AA98CCCA8}"/>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OLUOMACHI.xlsx]Salesperson performance!PivotTable4</c:name>
    <c:fmtId val="5"/>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Salesperson</a:t>
            </a:r>
            <a:r>
              <a:rPr lang="en-US" baseline="0">
                <a:solidFill>
                  <a:schemeClr val="accent5">
                    <a:lumMod val="50000"/>
                  </a:schemeClr>
                </a:solidFill>
                <a:latin typeface="Garamond" panose="02020404030301010803" pitchFamily="18" charset="0"/>
              </a:rPr>
              <a:t> Performance </a:t>
            </a:r>
            <a:r>
              <a:rPr lang="en-US">
                <a:solidFill>
                  <a:schemeClr val="accent5">
                    <a:lumMod val="50000"/>
                  </a:schemeClr>
                </a:solidFill>
                <a:latin typeface="Garamond" panose="02020404030301010803" pitchFamily="18" charset="0"/>
              </a:rPr>
              <a:t>Analysis</a:t>
            </a:r>
          </a:p>
        </c:rich>
      </c:tx>
      <c:layout>
        <c:manualLayout>
          <c:xMode val="edge"/>
          <c:yMode val="edge"/>
          <c:x val="0.13336125307200947"/>
          <c:y val="3.8709657754809369E-2"/>
        </c:manualLayout>
      </c:layout>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0"/>
        <c:spPr>
          <a:solidFill>
            <a:schemeClr val="accent5">
              <a:lumMod val="50000"/>
            </a:schemeClr>
          </a:solidFill>
          <a:ln>
            <a:noFill/>
          </a:ln>
          <a:effectLst/>
        </c:spPr>
        <c:dLbl>
          <c:idx val="0"/>
          <c:layout>
            <c:manualLayout>
              <c:x val="-0.14905472723110993"/>
              <c:y val="9.67868444059721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486256477000898"/>
                  <c:h val="0.10303220572405093"/>
                </c:manualLayout>
              </c15:layout>
            </c:ext>
          </c:extLst>
        </c:dLbl>
      </c:pivotFmt>
      <c:pivotFmt>
        <c:idx val="41"/>
        <c:spPr>
          <a:solidFill>
            <a:schemeClr val="accent5">
              <a:lumMod val="75000"/>
            </a:schemeClr>
          </a:solidFill>
          <a:ln>
            <a:noFill/>
          </a:ln>
          <a:effectLst/>
        </c:spPr>
        <c:dLbl>
          <c:idx val="0"/>
          <c:layout>
            <c:manualLayout>
              <c:x val="-0.18987343664641051"/>
              <c:y val="4.947024785088875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2"/>
        <c:spPr>
          <a:solidFill>
            <a:schemeClr val="accent5">
              <a:lumMod val="75000"/>
            </a:schemeClr>
          </a:solidFill>
          <a:ln>
            <a:noFill/>
          </a:ln>
          <a:effectLst/>
        </c:spPr>
        <c:dLbl>
          <c:idx val="0"/>
          <c:layout>
            <c:manualLayout>
              <c:x val="-0.1898734366464105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3"/>
        <c:spPr>
          <a:solidFill>
            <a:schemeClr val="accent5">
              <a:lumMod val="60000"/>
              <a:lumOff val="40000"/>
            </a:schemeClr>
          </a:solidFill>
          <a:ln>
            <a:noFill/>
          </a:ln>
          <a:effectLst/>
        </c:spPr>
        <c:dLbl>
          <c:idx val="0"/>
          <c:layout>
            <c:manualLayout>
              <c:x val="-0.18987343664641057"/>
              <c:y val="-6.28272147706281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4"/>
        <c:spPr>
          <a:solidFill>
            <a:schemeClr val="accent5">
              <a:lumMod val="60000"/>
              <a:lumOff val="40000"/>
            </a:schemeClr>
          </a:solidFill>
          <a:ln>
            <a:noFill/>
          </a:ln>
          <a:effectLst/>
        </c:spPr>
        <c:dLbl>
          <c:idx val="0"/>
          <c:layout>
            <c:manualLayout>
              <c:x val="-0.19367090537933873"/>
              <c:y val="-6.28272147706287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5"/>
        <c:spPr>
          <a:solidFill>
            <a:schemeClr val="accent5">
              <a:lumMod val="40000"/>
              <a:lumOff val="60000"/>
            </a:schemeClr>
          </a:solidFill>
          <a:ln>
            <a:noFill/>
          </a:ln>
          <a:effectLst/>
        </c:spPr>
        <c:dLbl>
          <c:idx val="0"/>
          <c:layout>
            <c:manualLayout>
              <c:x val="-0.1898734366464105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6"/>
        <c:spPr>
          <a:solidFill>
            <a:schemeClr val="accent5">
              <a:lumMod val="40000"/>
              <a:lumOff val="60000"/>
            </a:schemeClr>
          </a:solidFill>
          <a:ln>
            <a:noFill/>
          </a:ln>
          <a:effectLst/>
        </c:spPr>
        <c:dLbl>
          <c:idx val="0"/>
          <c:layout>
            <c:manualLayout>
              <c:x val="-0.18607596791348227"/>
              <c:y val="1.1518189648838889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7"/>
        <c:spPr>
          <a:solidFill>
            <a:schemeClr val="accent5">
              <a:lumMod val="20000"/>
              <a:lumOff val="80000"/>
            </a:schemeClr>
          </a:solidFill>
          <a:ln>
            <a:noFill/>
          </a:ln>
          <a:effectLst/>
        </c:spPr>
        <c:dLbl>
          <c:idx val="0"/>
          <c:layout>
            <c:manualLayout>
              <c:x val="-2.2784812397569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56C1-46CA-8F52-3CDE9A31BF2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56C1-46CA-8F52-3CDE9A31BF21}"/>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56C1-46CA-8F52-3CDE9A31BF21}"/>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56C1-46CA-8F52-3CDE9A31BF21}"/>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56C1-46CA-8F52-3CDE9A31BF21}"/>
              </c:ext>
            </c:extLst>
          </c:dPt>
          <c:dPt>
            <c:idx val="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B-56C1-46CA-8F52-3CDE9A31BF21}"/>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56C1-46CA-8F52-3CDE9A31BF21}"/>
              </c:ext>
            </c:extLst>
          </c:dPt>
          <c:dPt>
            <c:idx val="7"/>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F-56C1-46CA-8F52-3CDE9A31BF21}"/>
              </c:ext>
            </c:extLst>
          </c:dPt>
          <c:dPt>
            <c:idx val="8"/>
            <c:invertIfNegative val="0"/>
            <c:bubble3D val="0"/>
            <c:extLst>
              <c:ext xmlns:c16="http://schemas.microsoft.com/office/drawing/2014/chart" uri="{C3380CC4-5D6E-409C-BE32-E72D297353CC}">
                <c16:uniqueId val="{00000010-56C1-46CA-8F52-3CDE9A31BF21}"/>
              </c:ext>
            </c:extLst>
          </c:dPt>
          <c:dPt>
            <c:idx val="9"/>
            <c:invertIfNegative val="0"/>
            <c:bubble3D val="0"/>
            <c:extLst>
              <c:ext xmlns:c16="http://schemas.microsoft.com/office/drawing/2014/chart" uri="{C3380CC4-5D6E-409C-BE32-E72D297353CC}">
                <c16:uniqueId val="{00000011-56C1-46CA-8F52-3CDE9A31BF21}"/>
              </c:ext>
            </c:extLst>
          </c:dPt>
          <c:dLbls>
            <c:dLbl>
              <c:idx val="0"/>
              <c:layout>
                <c:manualLayout>
                  <c:x val="-0.14905472723110993"/>
                  <c:y val="9.678684440597214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486256477000898"/>
                      <c:h val="0.10303220572405093"/>
                    </c:manualLayout>
                  </c15:layout>
                </c:ext>
                <c:ext xmlns:c16="http://schemas.microsoft.com/office/drawing/2014/chart" uri="{C3380CC4-5D6E-409C-BE32-E72D297353CC}">
                  <c16:uniqueId val="{00000001-56C1-46CA-8F52-3CDE9A31BF21}"/>
                </c:ext>
              </c:extLst>
            </c:dLbl>
            <c:dLbl>
              <c:idx val="1"/>
              <c:layout>
                <c:manualLayout>
                  <c:x val="-0.18987343664641051"/>
                  <c:y val="4.9470247850888754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1-46CA-8F52-3CDE9A31BF21}"/>
                </c:ext>
              </c:extLst>
            </c:dLbl>
            <c:dLbl>
              <c:idx val="2"/>
              <c:layout>
                <c:manualLayout>
                  <c:x val="-0.1898734366464105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C1-46CA-8F52-3CDE9A31BF21}"/>
                </c:ext>
              </c:extLst>
            </c:dLbl>
            <c:dLbl>
              <c:idx val="3"/>
              <c:layout>
                <c:manualLayout>
                  <c:x val="-0.18987343664641057"/>
                  <c:y val="-6.28272147706281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C1-46CA-8F52-3CDE9A31BF21}"/>
                </c:ext>
              </c:extLst>
            </c:dLbl>
            <c:dLbl>
              <c:idx val="4"/>
              <c:layout>
                <c:manualLayout>
                  <c:x val="-0.19367090537933873"/>
                  <c:y val="-6.282721477062872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C1-46CA-8F52-3CDE9A31BF21}"/>
                </c:ext>
              </c:extLst>
            </c:dLbl>
            <c:dLbl>
              <c:idx val="5"/>
              <c:layout>
                <c:manualLayout>
                  <c:x val="-0.1898734366464105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C1-46CA-8F52-3CDE9A31BF21}"/>
                </c:ext>
              </c:extLst>
            </c:dLbl>
            <c:dLbl>
              <c:idx val="6"/>
              <c:layout>
                <c:manualLayout>
                  <c:x val="-0.18607596791348227"/>
                  <c:y val="1.1518189648838889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C1-46CA-8F52-3CDE9A31BF21}"/>
                </c:ext>
              </c:extLst>
            </c:dLbl>
            <c:dLbl>
              <c:idx val="7"/>
              <c:layout>
                <c:manualLayout>
                  <c:x val="-2.2784812397569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C1-46CA-8F52-3CDE9A31BF2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'Salesperson performance'!$A$4:$A$12</c:f>
              <c:strCache>
                <c:ptCount val="8"/>
                <c:pt idx="0">
                  <c:v>Nancy Freehafer</c:v>
                </c:pt>
                <c:pt idx="1">
                  <c:v>Anne Larsen</c:v>
                </c:pt>
                <c:pt idx="2">
                  <c:v>Andrew Cencini</c:v>
                </c:pt>
                <c:pt idx="3">
                  <c:v>Mariya Sergienko</c:v>
                </c:pt>
                <c:pt idx="4">
                  <c:v>Laura Giussani</c:v>
                </c:pt>
                <c:pt idx="5">
                  <c:v>Michael Neipper</c:v>
                </c:pt>
                <c:pt idx="6">
                  <c:v>Robert Zare</c:v>
                </c:pt>
                <c:pt idx="7">
                  <c:v>Jan Kotas</c:v>
                </c:pt>
              </c:strCache>
            </c:strRef>
          </c:cat>
          <c:val>
            <c:numRef>
              <c:f>'Salesperson performance'!$B$4:$B$12</c:f>
              <c:numCache>
                <c:formatCode>"$"#,##0.00</c:formatCode>
                <c:ptCount val="8"/>
                <c:pt idx="0">
                  <c:v>104252.33999999997</c:v>
                </c:pt>
                <c:pt idx="1">
                  <c:v>93858.329999999987</c:v>
                </c:pt>
                <c:pt idx="2">
                  <c:v>67180.5</c:v>
                </c:pt>
                <c:pt idx="3">
                  <c:v>42370.880000000005</c:v>
                </c:pt>
                <c:pt idx="4">
                  <c:v>41095.01</c:v>
                </c:pt>
                <c:pt idx="5">
                  <c:v>37428</c:v>
                </c:pt>
                <c:pt idx="6">
                  <c:v>32530.6</c:v>
                </c:pt>
                <c:pt idx="7">
                  <c:v>16350.5</c:v>
                </c:pt>
              </c:numCache>
            </c:numRef>
          </c:val>
          <c:extLst>
            <c:ext xmlns:c16="http://schemas.microsoft.com/office/drawing/2014/chart" uri="{C3380CC4-5D6E-409C-BE32-E72D297353CC}">
              <c16:uniqueId val="{00000012-56C1-46CA-8F52-3CDE9A31BF21}"/>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OLUOMACHI.xlsx]Top 10 Customers!PivotTable4</c:name>
    <c:fmtId val="5"/>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a:solidFill>
                  <a:schemeClr val="accent5">
                    <a:lumMod val="50000"/>
                  </a:schemeClr>
                </a:solidFill>
                <a:latin typeface="Garamond" panose="02020404030301010803" pitchFamily="18" charset="0"/>
              </a:rPr>
              <a:t>Top 10 Customers Analysis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75000"/>
            </a:schemeClr>
          </a:solidFill>
          <a:ln>
            <a:noFill/>
          </a:ln>
          <a:effectLst/>
        </c:spPr>
      </c:pivotFmt>
      <c:pivotFmt>
        <c:idx val="27"/>
        <c:spPr>
          <a:solidFill>
            <a:schemeClr val="accent5">
              <a:lumMod val="60000"/>
              <a:lumOff val="40000"/>
            </a:schemeClr>
          </a:solidFill>
          <a:ln>
            <a:noFill/>
          </a:ln>
          <a:effectLst/>
        </c:spPr>
      </c:pivotFmt>
      <c:pivotFmt>
        <c:idx val="28"/>
        <c:spPr>
          <a:solidFill>
            <a:schemeClr val="accent5">
              <a:lumMod val="60000"/>
              <a:lumOff val="40000"/>
            </a:schemeClr>
          </a:solidFill>
          <a:ln>
            <a:noFill/>
          </a:ln>
          <a:effectLst/>
        </c:spPr>
      </c:pivotFmt>
      <c:pivotFmt>
        <c:idx val="29"/>
        <c:spPr>
          <a:solidFill>
            <a:schemeClr val="accent5">
              <a:lumMod val="40000"/>
              <a:lumOff val="60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F1F3-45E7-9C7D-D0267477AA3D}"/>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F1F3-45E7-9C7D-D0267477AA3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F3-45E7-9C7D-D0267477AA3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F3-45E7-9C7D-D0267477AA3D}"/>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F1F3-45E7-9C7D-D0267477AA3D}"/>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F1F3-45E7-9C7D-D0267477AA3D}"/>
              </c:ext>
            </c:extLst>
          </c:dPt>
          <c:dPt>
            <c:idx val="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F1F3-45E7-9C7D-D0267477AA3D}"/>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F-F1F3-45E7-9C7D-D0267477AA3D}"/>
              </c:ext>
            </c:extLst>
          </c:dPt>
          <c:dPt>
            <c:idx val="8"/>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1-F1F3-45E7-9C7D-D0267477AA3D}"/>
              </c:ext>
            </c:extLst>
          </c:dPt>
          <c:dPt>
            <c:idx val="9"/>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13-F1F3-45E7-9C7D-D0267477AA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Customers'!$A$4:$A$19</c:f>
              <c:strCache>
                <c:ptCount val="15"/>
                <c:pt idx="0">
                  <c:v>Company D</c:v>
                </c:pt>
                <c:pt idx="1">
                  <c:v>Company H</c:v>
                </c:pt>
                <c:pt idx="2">
                  <c:v>Company BB</c:v>
                </c:pt>
                <c:pt idx="3">
                  <c:v>Company F</c:v>
                </c:pt>
                <c:pt idx="4">
                  <c:v>Company A</c:v>
                </c:pt>
                <c:pt idx="5">
                  <c:v>Company I</c:v>
                </c:pt>
                <c:pt idx="6">
                  <c:v>Company J</c:v>
                </c:pt>
                <c:pt idx="7">
                  <c:v>Company Z</c:v>
                </c:pt>
                <c:pt idx="8">
                  <c:v>Company C</c:v>
                </c:pt>
                <c:pt idx="9">
                  <c:v>Company K</c:v>
                </c:pt>
                <c:pt idx="10">
                  <c:v>Company G</c:v>
                </c:pt>
                <c:pt idx="11">
                  <c:v>Company CC</c:v>
                </c:pt>
                <c:pt idx="12">
                  <c:v>Company L</c:v>
                </c:pt>
                <c:pt idx="13">
                  <c:v>Company Y</c:v>
                </c:pt>
                <c:pt idx="14">
                  <c:v>Company AA</c:v>
                </c:pt>
              </c:strCache>
            </c:strRef>
          </c:cat>
          <c:val>
            <c:numRef>
              <c:f>'Top 10 Customers'!$B$4:$B$19</c:f>
              <c:numCache>
                <c:formatCode>"$"#,##0.00</c:formatCode>
                <c:ptCount val="15"/>
                <c:pt idx="0">
                  <c:v>67180.5</c:v>
                </c:pt>
                <c:pt idx="1">
                  <c:v>50208.35</c:v>
                </c:pt>
                <c:pt idx="2">
                  <c:v>43713</c:v>
                </c:pt>
                <c:pt idx="3">
                  <c:v>37428</c:v>
                </c:pt>
                <c:pt idx="4">
                  <c:v>36839.990000000005</c:v>
                </c:pt>
                <c:pt idx="5">
                  <c:v>32530.6</c:v>
                </c:pt>
                <c:pt idx="6">
                  <c:v>29133.009999999995</c:v>
                </c:pt>
                <c:pt idx="7">
                  <c:v>28208.250000000007</c:v>
                </c:pt>
                <c:pt idx="8">
                  <c:v>27005.38</c:v>
                </c:pt>
                <c:pt idx="9">
                  <c:v>21937.08</c:v>
                </c:pt>
                <c:pt idx="10">
                  <c:v>17204</c:v>
                </c:pt>
                <c:pt idx="11">
                  <c:v>16350.5</c:v>
                </c:pt>
                <c:pt idx="12">
                  <c:v>14074</c:v>
                </c:pt>
                <c:pt idx="13">
                  <c:v>11962</c:v>
                </c:pt>
                <c:pt idx="14">
                  <c:v>1291.5</c:v>
                </c:pt>
              </c:numCache>
            </c:numRef>
          </c:val>
          <c:extLst>
            <c:ext xmlns:c16="http://schemas.microsoft.com/office/drawing/2014/chart" uri="{C3380CC4-5D6E-409C-BE32-E72D297353CC}">
              <c16:uniqueId val="{00000014-F1F3-45E7-9C7D-D0267477AA3D}"/>
            </c:ext>
          </c:extLst>
        </c:ser>
        <c:dLbls>
          <c:dLblPos val="outEnd"/>
          <c:showLegendKey val="0"/>
          <c:showVal val="1"/>
          <c:showCatName val="0"/>
          <c:showSerName val="0"/>
          <c:showPercent val="0"/>
          <c:showBubbleSize val="0"/>
        </c:dLbls>
        <c:gapWidth val="20"/>
        <c:axId val="324189592"/>
        <c:axId val="324203632"/>
      </c:barChart>
      <c:catAx>
        <c:axId val="324189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4203632"/>
        <c:crosses val="autoZero"/>
        <c:auto val="1"/>
        <c:lblAlgn val="ctr"/>
        <c:lblOffset val="100"/>
        <c:noMultiLvlLbl val="0"/>
      </c:catAx>
      <c:valAx>
        <c:axId val="324203632"/>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324189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[TASK-18 JOHN LOVETH OLUOMACHI.xlsx]Regional performance!PivotTable4</c:name>
    <c:fmtId val="7"/>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r>
              <a:rPr lang="en-US" baseline="0">
                <a:solidFill>
                  <a:schemeClr val="accent5">
                    <a:lumMod val="50000"/>
                  </a:schemeClr>
                </a:solidFill>
                <a:latin typeface="Garamond" panose="02020404030301010803" pitchFamily="18" charset="0"/>
              </a:rPr>
              <a:t>Regional Performance </a:t>
            </a:r>
            <a:r>
              <a:rPr lang="en-US">
                <a:solidFill>
                  <a:schemeClr val="accent5">
                    <a:lumMod val="50000"/>
                  </a:schemeClr>
                </a:solidFill>
                <a:latin typeface="Garamond" panose="02020404030301010803" pitchFamily="18" charset="0"/>
              </a:rPr>
              <a:t>Analysis</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Garamond" panose="02020404030301010803" pitchFamily="18" charset="0"/>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75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5">
              <a:lumMod val="20000"/>
              <a:lumOff val="80000"/>
            </a:schemeClr>
          </a:solidFill>
          <a:ln>
            <a:noFill/>
          </a:ln>
          <a:effectLst/>
        </c:spPr>
      </c:pivotFmt>
      <c:pivotFmt>
        <c:idx val="22"/>
        <c:spPr>
          <a:solidFill>
            <a:schemeClr val="accent5">
              <a:lumMod val="50000"/>
            </a:schemeClr>
          </a:solidFill>
          <a:ln>
            <a:noFill/>
          </a:ln>
          <a:effectLst/>
        </c:spPr>
      </c:pivotFmt>
      <c:pivotFmt>
        <c:idx val="23"/>
        <c:spPr>
          <a:solidFill>
            <a:schemeClr val="accent5">
              <a:lumMod val="75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60000"/>
              <a:lumOff val="40000"/>
            </a:schemeClr>
          </a:solidFill>
          <a:ln>
            <a:noFill/>
          </a:ln>
          <a:effectLst/>
        </c:spPr>
      </c:pivotFmt>
      <c:pivotFmt>
        <c:idx val="27"/>
        <c:spPr>
          <a:solidFill>
            <a:schemeClr val="accent5">
              <a:lumMod val="40000"/>
              <a:lumOff val="60000"/>
            </a:schemeClr>
          </a:solidFill>
          <a:ln>
            <a:noFill/>
          </a:ln>
          <a:effectLst/>
        </c:spPr>
      </c:pivotFmt>
      <c:pivotFmt>
        <c:idx val="28"/>
        <c:spPr>
          <a:solidFill>
            <a:schemeClr val="accent5">
              <a:lumMod val="40000"/>
              <a:lumOff val="6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c:spPr>
      </c:pivotFmt>
      <c:pivotFmt>
        <c:idx val="32"/>
        <c:spPr>
          <a:solidFill>
            <a:schemeClr val="accent5">
              <a:lumMod val="75000"/>
            </a:schemeClr>
          </a:solidFill>
          <a:ln>
            <a:noFill/>
          </a:ln>
          <a:effectLst/>
        </c:spPr>
      </c:pivotFmt>
      <c:pivotFmt>
        <c:idx val="33"/>
        <c:spPr>
          <a:solidFill>
            <a:schemeClr val="accent5">
              <a:lumMod val="75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60000"/>
              <a:lumOff val="40000"/>
            </a:schemeClr>
          </a:solidFill>
          <a:ln>
            <a:noFill/>
          </a:ln>
          <a:effectLst/>
        </c:spPr>
      </c:pivotFmt>
      <c:pivotFmt>
        <c:idx val="36"/>
        <c:spPr>
          <a:solidFill>
            <a:schemeClr val="accent5">
              <a:lumMod val="40000"/>
              <a:lumOff val="60000"/>
            </a:schemeClr>
          </a:solidFill>
          <a:ln>
            <a:noFill/>
          </a:ln>
          <a:effectLst/>
        </c:spPr>
      </c:pivotFmt>
      <c:pivotFmt>
        <c:idx val="37"/>
        <c:spPr>
          <a:solidFill>
            <a:schemeClr val="accent5">
              <a:lumMod val="40000"/>
              <a:lumOff val="60000"/>
            </a:schemeClr>
          </a:solidFill>
          <a:ln>
            <a:noFill/>
          </a:ln>
          <a:effectLst/>
        </c:spPr>
      </c:pivotFmt>
      <c:pivotFmt>
        <c:idx val="38"/>
        <c:spPr>
          <a:solidFill>
            <a:schemeClr val="accent5">
              <a:lumMod val="20000"/>
              <a:lumOff val="80000"/>
            </a:schemeClr>
          </a:solidFill>
          <a:ln>
            <a:noFill/>
          </a:ln>
          <a:effectLst/>
        </c:spP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20000"/>
              <a:lumOff val="80000"/>
            </a:schemeClr>
          </a:solidFill>
          <a:ln>
            <a:noFill/>
          </a:ln>
          <a:effectLst/>
        </c:spPr>
      </c:pivotFmt>
      <c:pivotFmt>
        <c:idx val="45"/>
        <c:spPr>
          <a:solidFill>
            <a:schemeClr val="accent5">
              <a:lumMod val="50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75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20000"/>
              <a:lumOff val="80000"/>
            </a:schemeClr>
          </a:solidFill>
          <a:ln>
            <a:noFill/>
          </a:ln>
          <a:effectLst/>
        </c:spPr>
      </c:pivotFmt>
      <c:pivotFmt>
        <c:idx val="50"/>
        <c:spPr>
          <a:solidFill>
            <a:schemeClr val="accent5">
              <a:lumMod val="5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75000"/>
            </a:schemeClr>
          </a:solidFill>
          <a:ln>
            <a:noFill/>
          </a:ln>
          <a:effectLst/>
        </c:spPr>
      </c:pivotFmt>
    </c:pivotFmts>
    <c:plotArea>
      <c:layout/>
      <c:pieChart>
        <c:varyColors val="1"/>
        <c:ser>
          <c:idx val="0"/>
          <c:order val="0"/>
          <c:tx>
            <c:strRef>
              <c:f>'Regional performance'!$B$3</c:f>
              <c:strCache>
                <c:ptCount val="1"/>
                <c:pt idx="0">
                  <c:v>Total</c:v>
                </c:pt>
              </c:strCache>
            </c:strRef>
          </c:tx>
          <c:dPt>
            <c:idx val="0"/>
            <c:bubble3D val="0"/>
            <c:spPr>
              <a:solidFill>
                <a:schemeClr val="accent5">
                  <a:lumMod val="20000"/>
                  <a:lumOff val="80000"/>
                </a:schemeClr>
              </a:solidFill>
              <a:ln>
                <a:noFill/>
              </a:ln>
              <a:effectLst/>
            </c:spPr>
            <c:extLst>
              <c:ext xmlns:c16="http://schemas.microsoft.com/office/drawing/2014/chart" uri="{C3380CC4-5D6E-409C-BE32-E72D297353CC}">
                <c16:uniqueId val="{00000001-9162-4DF0-A5B1-281CC27F00A2}"/>
              </c:ext>
            </c:extLst>
          </c:dPt>
          <c:dPt>
            <c:idx val="1"/>
            <c:bubble3D val="0"/>
            <c:spPr>
              <a:solidFill>
                <a:schemeClr val="accent5">
                  <a:lumMod val="50000"/>
                </a:schemeClr>
              </a:solidFill>
              <a:ln>
                <a:noFill/>
              </a:ln>
              <a:effectLst/>
            </c:spPr>
            <c:extLst>
              <c:ext xmlns:c16="http://schemas.microsoft.com/office/drawing/2014/chart" uri="{C3380CC4-5D6E-409C-BE32-E72D297353CC}">
                <c16:uniqueId val="{00000003-9162-4DF0-A5B1-281CC27F00A2}"/>
              </c:ext>
            </c:extLst>
          </c:dPt>
          <c:dPt>
            <c:idx val="2"/>
            <c:bubble3D val="0"/>
            <c:spPr>
              <a:solidFill>
                <a:schemeClr val="accent5">
                  <a:lumMod val="60000"/>
                  <a:lumOff val="40000"/>
                </a:schemeClr>
              </a:solidFill>
              <a:ln>
                <a:noFill/>
              </a:ln>
              <a:effectLst/>
            </c:spPr>
            <c:extLst>
              <c:ext xmlns:c16="http://schemas.microsoft.com/office/drawing/2014/chart" uri="{C3380CC4-5D6E-409C-BE32-E72D297353CC}">
                <c16:uniqueId val="{00000005-9162-4DF0-A5B1-281CC27F00A2}"/>
              </c:ext>
            </c:extLst>
          </c:dPt>
          <c:dPt>
            <c:idx val="3"/>
            <c:bubble3D val="0"/>
            <c:spPr>
              <a:solidFill>
                <a:schemeClr val="accent5">
                  <a:lumMod val="75000"/>
                </a:schemeClr>
              </a:solidFill>
              <a:ln>
                <a:noFill/>
              </a:ln>
              <a:effectLst/>
            </c:spPr>
            <c:extLst>
              <c:ext xmlns:c16="http://schemas.microsoft.com/office/drawing/2014/chart" uri="{C3380CC4-5D6E-409C-BE32-E72D297353CC}">
                <c16:uniqueId val="{00000007-9162-4DF0-A5B1-281CC27F00A2}"/>
              </c:ext>
            </c:extLst>
          </c:dPt>
          <c:dPt>
            <c:idx val="4"/>
            <c:bubble3D val="0"/>
            <c:spPr>
              <a:solidFill>
                <a:schemeClr val="accent5"/>
              </a:solidFill>
              <a:ln>
                <a:noFill/>
              </a:ln>
              <a:effectLst/>
            </c:spPr>
            <c:extLst>
              <c:ext xmlns:c16="http://schemas.microsoft.com/office/drawing/2014/chart" uri="{C3380CC4-5D6E-409C-BE32-E72D297353CC}">
                <c16:uniqueId val="{00000009-9162-4DF0-A5B1-281CC27F00A2}"/>
              </c:ext>
            </c:extLst>
          </c:dPt>
          <c:dPt>
            <c:idx val="5"/>
            <c:bubble3D val="0"/>
            <c:spPr>
              <a:solidFill>
                <a:schemeClr val="accent6"/>
              </a:solidFill>
              <a:ln>
                <a:noFill/>
              </a:ln>
              <a:effectLst/>
            </c:spPr>
            <c:extLst>
              <c:ext xmlns:c16="http://schemas.microsoft.com/office/drawing/2014/chart" uri="{C3380CC4-5D6E-409C-BE32-E72D297353CC}">
                <c16:uniqueId val="{0000000B-9162-4DF0-A5B1-281CC27F00A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162-4DF0-A5B1-281CC27F00A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162-4DF0-A5B1-281CC27F00A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162-4DF0-A5B1-281CC27F00A2}"/>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162-4DF0-A5B1-281CC27F00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performance'!$A$4:$A$8</c:f>
              <c:strCache>
                <c:ptCount val="4"/>
                <c:pt idx="0">
                  <c:v>North</c:v>
                </c:pt>
                <c:pt idx="1">
                  <c:v>East</c:v>
                </c:pt>
                <c:pt idx="2">
                  <c:v>South</c:v>
                </c:pt>
                <c:pt idx="3">
                  <c:v>West</c:v>
                </c:pt>
              </c:strCache>
            </c:strRef>
          </c:cat>
          <c:val>
            <c:numRef>
              <c:f>'Regional performance'!$B$4:$B$8</c:f>
              <c:numCache>
                <c:formatCode>0.00%</c:formatCode>
                <c:ptCount val="4"/>
                <c:pt idx="0">
                  <c:v>0.32565240192434181</c:v>
                </c:pt>
                <c:pt idx="1">
                  <c:v>0.24887136705828836</c:v>
                </c:pt>
                <c:pt idx="2">
                  <c:v>0.21573346453789927</c:v>
                </c:pt>
                <c:pt idx="3">
                  <c:v>0.20974276647947065</c:v>
                </c:pt>
              </c:numCache>
            </c:numRef>
          </c:val>
          <c:extLst>
            <c:ext xmlns:c16="http://schemas.microsoft.com/office/drawing/2014/chart" uri="{C3380CC4-5D6E-409C-BE32-E72D297353CC}">
              <c16:uniqueId val="{00000014-9162-4DF0-A5B1-281CC27F00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States</cx:v>
        </cx:txData>
      </cx:tx>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0" i="0" u="none" strike="noStrike" baseline="0">
              <a:solidFill>
                <a:sysClr val="windowText" lastClr="000000">
                  <a:lumMod val="65000"/>
                  <a:lumOff val="35000"/>
                </a:sysClr>
              </a:solidFill>
              <a:latin typeface="Calibri"/>
            </a:rPr>
            <a:t>Performance by States</a:t>
          </a:r>
        </a:p>
      </cx:txPr>
    </cx:title>
    <cx:plotArea>
      <cx:plotAreaRegion>
        <cx:series layoutId="regionMap" uniqueId="{EF0F33C6-BCD2-4854-A3B9-B974234C0971}">
          <cx:tx>
            <cx:txData>
              <cx:f>_xlchart.v5.2</cx:f>
              <cx:v>Revenue</cx:v>
            </cx:txData>
          </cx:tx>
          <cx:dataLabels>
            <cx:visibility seriesName="0" categoryName="1" value="1"/>
            <cx:separator>
</cx:separator>
          </cx:dataLabels>
          <cx:dataId val="0"/>
          <cx:layoutPr>
            <cx:regionLabelLayout val="none"/>
            <cx:geography cultureLanguage="en-US" cultureRegion="NG" attribution="Powered by Bing">
              <cx:geoCache provider="{E9337A44-BEBE-4D9F-B70C-5C5E7DAFC167}">
                <cx:binary>1Hxbb9xG1u1fCfx8qNS9WIPJBxyyu3W1bEuWE/uFkCWFdxZZvPPXn0W1nLE6HvnzYHAA+yENsUlW
7fvaa1fnn3fTP+6Kh1v3y1QWVfuPu+m3V0nX1f/49df2Lnkob9ujMr1ztrV/dkd3tvzV/vlnevfw
6727HdMq/pURKn69S25d9zC9+p9/4m3xg72wd7ddaqt3/YObrx7avujaF7775le/3N6XabVJ286l
dx397dXvp69+eai6tJvfz/XDb6+eff/ql18P3/K3FX8psKmuv8ezQhwpbozkipj9v1e/FLaKn772
fHOkOTNSGk4e//Eva1/elnj+97S9s1WbVl8uf2tLjxu6vb93D20LaR4/nz36TIK9gHe2r7pVZzHU
99urmyrtHu5/ue5uu4f21S9pa8P9DaFdxbi5fpT71+da/59/HlyAJg6ufGWYQ7V976u/2eXy40tK
+EG7sCPDDROcs7/0/rVdtDxS+EYqKvZmU1/W3tvl8mH85aN1+Zer/3uz/OvJA6us4v2EVnl/+ZIO
fswqXB75ghlDfH9vFXYQLeqIC86EEuovq+0jdW+V9w9VhRh4eHhpS9+Olq8ePbDLKuBPaJc3Vy8p
4cfsIjiixVe+4uqbWYwyciSlTymnXxbdG+SNe4jtf5C7vjx3YIpVpp/QFDfvv2jlW2nix0zBzRFn
XGvF5DdDhFJ6pLTPGFMHKeumu01e2se342L/1IEdVoF+QjvsLl6S/8fswPwjibJNFX2KCHOQqtiR
8DUXzP92Yd8V1qX3ty9t6NsG+evBA5uswv2ENjn9L9pEkCPKBFW+2IcGOSwf5ogKJDHpy7/S2Nfl
47Qo0sqmwD//Hv592yj/evLAKqt4P6FVfv+/L+ngxyJF6COByiC1r/da188jZV88lPCJoI92O6gh
v9+2CRqA7j+pI18/e2CZVcSf0DLhf9EyXB8xKZQy1OwDBpr/GgRTao4U1UxT8ZTlvnjFvrqHt0X6
p3VVevvl+rfq27cj5utnDyyzivgTWuZ085IWfjBmxBH3DdHIZvuY8Q8tg74SPaP2ifyy6t4mp/e3
if1y6X9vjqfHDiyxivQTWiJ885ICfswS3D8yxpeSiKdG8TBGiDySQvtcHXTuoUWFv73/D2zxrycP
zLHK9ROa4/LDf9EcgL9SCSH5E5/yt8BQCAzJff3UQsJcX5f4y4fh9j9BXV+eO7DIKtpPYJGXt/g1
2Hl25w9yXWhNJEGdF1zvywki4utyYswRoWugmCdORTy3zQEH9e+39e2KcvD4M0n+PxFc/578+osj
3Nx2t9tHcvEr/uvlbx/FBdl58OgzkPpM2i9qPb3/7RUT0PJflOX6imfxcKC0vc7/eu7htu1+e+Up
dWQ05woQDgQAFQSd5fiwfgVwcCQpA2FjuASU8BGOlXVd8tsrTRGpQsPczKcMVaq1/XqdIqFyJlHX
KICFAbr4i819a4sZdMFf2nj6+5eqL9/atOra315x+FS9v23d5boi8KNRlDOtwFEwbKC+u70CYMTd
9P8UNHMVHXP54NOo682W1aL2ipDUQ7p8kLKv81vhOdnuqmZuZ7Hp2CSTKfRsRD7HlROVF1o25frM
JHLuN7nxquZkNGXRvi5kWXtzYPNJ1p9l3mWT3UBXRcbDWGtBH/Rk5/6qSCZd3Pq+rKM7XvJGXcYq
bWoelDRtsRVRS1e+SSjpxmoTF9LldWBHWZYXVM8NthyXJZ3PWcmr7E+vHSye+cqk31ASAPYzHRkC
ptMgbZoV6zECj/haR5qWaZ+oxH+IRltlzUlXikKcFGJonT5Z2rhLx3BJa4C9gkQpi3YvL0/Rdj1f
X2sOlltwn8NS2Mzz9ZeM+60iKr3PaM7zNOwslzwJjGFek+3cNMau27iki0USeMJb6urtKPjcspCK
RY38rFNJ1eaBtQ139NJIv8F3L28SLvz1HjXhnKM3NHxlfFe3fL7HKUk9ljju3SvPDYRt4kXHutkV
vug4CSrXKfUplyTqMDz4K9y+b5t1XWGEZqBzmPH54bp1P1ttPe7fxzN8TgUDqYv2j0RErIqDMUv7
9E0VYY7SBUliQfoELy8PluJAbC18NMXMCAnSSK9q+Sp8YjmkHpkSfu/pQjc8lCNR8haB5HWndkl1
cZl61NLXPG/m/jpvCVmSAP1aAaW8vBNkhOc7kQw9IFhEJRW0wQ8M0KmUZHNeRXeRWSrpjm1Tl9G8
9aKyNfPx7LsJVnl5yb8LD5gALln6xBBUJfJc+EQnUZHNxN0LNSLKdzNVC8130o19K7apHwn1yfXQ
ehO0CpTcJ0vmwZntkFpSj99xBHqQyTSRhqzkNgIV2J/7B7uJzZJJU3fe5yR1uvROpi5ZA6KcbIJp
TT9mYhFhWrYzq4PJMI5dyZQk/XVZq2wOK4+66tqUSemqTSOtY1flkFbt55d1tubTr/KtRidPhCBC
Uo0cztVBLunHyHekWabPk+scnID0OYGyyDRy6QWT44N3XbO8WYOmG+36kdZx/6PKolRpoThRxhdc
ILU9N53fsLabW2U/V4X0kMMzZK9lDIaZdLM855FE3m/j3uW3ZSYrZFRXl47KE9/LvCEPmgTZds38
c4KnqnQphnMx5bUtv5NW6KGPoYfmSrOVkoWFlTqoTxMfq9pUC//cRkx55Tbr2rro3zZLl9ZVODZz
g815uhzwnZ2b0s4bP19m73qs6+i0Na7I4rBcFjKfl0lTdVFQGaKiLuwl8YorVZp4KUPGzYSUyLxs
ptUZWUyBt+ZpNDbNd8KUAkA/cwCmqG+UUQSUDlpQeZAx4JlVM1RD/UlLKzMZ1sSXcMUo6o1xIV20
h9QezfvsWfQC3/WP6aSmkY+vprHjqtn1I/9+QIvDLM6ANgwCiVKGecXf3CKf8raMElt/qh2iqNny
NvfFa0YTPp/ztp+hDhMNxfKhTKZ51kGfuLFJQiT8UV3FzRJ5J64U2fLBeX2rLv1UrQBhEkNZmOO8
l6t5bMsNXGgetByuapfly4elUPmYB6Qo1qKVQvswkK1Mgot8dkAifjlNsB2X2YyPdiFx529q2fJ2
p3S/2i6f4hQAo3lc3vixN4+Bb6cMr7AAD9h56lUrNuhqWea3U6uqpt6ZwdHhWnC7dBfO5ZELiqJ0
rAy9OCqnk1iguH6s/CoSHwYyUDiZ9mPgjKGpLCDKy7nhMIVD+5poDYwvtJKcHrgGj+YqpqYuPi20
bF0cTIzoug1Gm9nilPfNiETx8oqH2Yhp5CJGUbepQO0+XLF1pE3Gko8f+dKvzjj2Yk1/rNU5irca
Gqk+RRlf4IQj67s2fq2RWOCnL29jhbPPgoJrpZhG4ZKMMAGU/DwdLXzoG8+o8kMpqrLjQWd76T3Y
JmmQjZK8rejWRdqmb4fWj5Fx6kTaeBv7HRts4Gs9FkPQsbg5LyJfXU/cFf4ctCNVw1XneyQNG7lM
9hxORJIgIyJK60BEiq7BnhD4oR0SoIvTKMu7NfIHNNBvMCPS9Rzw3PFpOH5Z4sO85nMUqHXGxB6p
D/QEzyXOVZRUY9Pqm6GvCECsdI4BxA7L6rcCIEucJHSc4LZTbjg+4u4R2XqqXl2a99nIoutoUqtL
syZdSneS1oyvKbJZWkJ3TTHUbXq8yDlH1EVjuWJqOvslolPTBmH0skjsILP5QEA+yiayGixIKTlI
1Q2vysVmFbvxu4Qjtro6XjfQebxfQ/cxjkESzdhblExriCNXrinF1Q0KjZdQwHg6yfWSbfI2vy1M
psVJOharHpp5tOoyaibclSZ8FXGOS9Xuck87vqt9N/A2nFEvIO53RDvoACCaoZhFUYQKkQJ477m1
uimnuujtfMPjYc1UnWvgWkuxpPauI37OqmDubLN80Kxa62PpWQqDTKos4nm7lIp28c5wrx9vgFId
1DHqjMP7+LAgm1SpZ+BiYizqNbv1SJsnKatHpLUOiAQLpl1E8Bd6LApVlLGAKrpOJ14XyqLPEBKJ
YRn+2utnTYX57ctKOIhRH3AB6Eoz6aPtJH+DunRchJpV470fSm2RHfbwliX+NOQhOsskrr6XFg7K
0bqk4AD2BGWJKKCm52onmQWErCf9vu0pPKSbuw4OhdoP/YisFlZuo9GzUxuogs9QeDFEFSALkh60
NLqp6N5q1fpRtos64SMZICCHKwfWBRWg9BD43VShUD2ZLW7GCqqcCr9CrCCKVnPE+bQawstSig8z
Z2a4Ira02InMc9SmXHVrn/qytoXhEO4rpAjh1yKAJEExPvh7RwU42Hoxmeb3STKrIgq6Pud1GI0k
yi4VW4Sbt03iVO0HhjGTJYFzTdqckaLnkwxqoB3v3MWlJ15HZaJ52Ix2iu9IWpCTMeqF2uS6ssW9
yIrFXZVWlThIttBifCMGSqZl42eVkXXYAD+2/W4cpT9cuiaJJhuokpT0ghNHzaaqnKFhNnW9iwI7
+c2SBUk1ODGF8ZQPCIZhceNcBJMnM5HtDKO9uFZFN4s4JBPtx/64NmNCI+C3KO5Ou0QDmYV6KcZl
QVsLV6xPp3yO+qBp60ztBqNjvpGlNy3vR2VZ+qEXRRxtuOgYDWf0p3YOVNy1ZmNSNuZhLIv4RDPe
bRpLxuU8MhUhx3SkCdvFXusnZFvnthQ3sxzi3LsxlkzT+6mbePfaa7vKu0LF0P29dEq5m0UPcWWD
2lqatO/MtBT5cZSC3dgtVvilDUxuOUtC7Za28T/TMvOr+4TVdpg2cJW5eTB9N44kzIuxpdlJF1WN
9DfoA2ShjqPSy9WlodrL8+NB1awtkofEr3gHLU+U+068Xrgd4NILdW2dvMPRuU6RbVWJutanvYnS
pLio5JQ38TYb4m4cLkYZxWm6i0Q59vIqqhhvTlUmktjfwVcUz4N6WAjKetH66WiC2BOq6TZJ5JZs
Ph3j1kvS4zEtUW3C3IwCCXao017+Yb1eyfYUzjF6UThywBZ62ddAXSboZu5P6k3BtMZHt7/opWmB
74hBV+/Cxbai+bz0jWHDWaZcHbMTOnme1uGcybzXx1OV0bIIpBjWukikl0KcmEsUldspmnFqMMxk
YmT8Zh7rsdZvs8jLxmKnc+6x+jTvZ+MPb1TGZWqCxpiVk9Cuk0n+QcdR5C3nQhQtNOXNDVL2a2Tt
JpHnHo+cLi5o2qS0eJtlY+ZH2zFDIoi3NqUce0fKWrc0D15B2JbEyZw2G1LnmfM3VUc8Wf3BYlZh
vTIrjLnpY79pQoc+GJplfp+igoRUJetLsH9AlqBpzIrpRdJC+rBOaMXVLkvGVWO86HJ82DbpvOuq
1GvKF0MX+zo0Y2fhAEsFvHHcGVfivnovatLJBeprMo1/qCVthNWKhKLJrGi6mofWImHyd1pMq54r
YTJwSV7vOZjCq3I/EQ9Ng4am2bk0BdIKR5/OuglTP5G9BwuKvuk/dFnVpxX05SWLPU76RdDptZ/p
dcspLF0v1wqehRU4vmo+R960Ophy3mp5OXu4VphyVc0w4IBCihLrNyP2MOBwJ2R8ksc5zpvPINwS
XJNTbdV1LkVkeChGAwIoqHVCoYsn74mW1uCVOvNW4aJuflRGD69x4RPGNXKR61+8lflrTlLnXT+p
2tvf/kXJ+/vAFLD8tWZ1iQ3QykuGz3mq6tQdpxWfIXTDFpzfDWLG45RcowGPrQnk3lB2GTq4Gjrv
3sWnFTVzJAOaJ8Os3piyt9DSwMoCt7AaHJsLQXNEgwlyMq+gNy4lw8VCx6T5bPYatDUiCHltL1PC
UvRoYW0rNdKTuffX7pzsTbt3DxXlBfSjRIontlIXq/CTmhP4aUzdukwiEoWLs22ITm4WLxV9dwZJ
+arevSMt/dxjlxByfQtNXYvnMNng8K62S9at7xXqLeOCP2zBrdBbj8gqz04XJvVUH8cEjBbZjmlv
EdMmi1fmox1h33TQrPlMVVzBfVoJxArh3QCw+6YFl72+kA3rhxhiHx9FRdZwKBe57r/qVZyMN30R
F3G6q2If700aTmN+krezpt053/tKmrWm08dPKjfZ4LCdKeU5XoIKYLF4Vqc56vxAm0WRGyC3zB82
deN1VRqSNo6wuMwSjPg3XVGD2yxAGICygZmS/lTbeA3nHvUV1/K5V5m/ywEWp/mMm7aY7EknLCnL
sDCiKIcgamPQhtTQHvcnXdPiA6BRFpdl0+O/czmCRJNkpKCKGnD5xeWQdxFIgdFlWJ0msR0+qCqa
0AVE87L6/miQyrPdxBuGDOO7pOj9bVGixJbbyasi055Kg1I1fSRqypBv4sLaPD95opOzrkhctuuT
Av3u3SxanAg+qbME6jjmjzHTWL+AwtpozKPlA098O3Y3DR+TUZ10e9EnE7dQEa+nJYdEeTy2cqsW
QpHlOidW9dGpXr0GfNXq4nv+1G/zERqgPVvl7dKU4cPBwXF/k4IK9YK0WMArG8HyygSgLGZVvuY1
dbhDzXTtYQfZt/CrPcmyUFm4aNdXjYvYaRw1C96x7Km3CG05WMNGihx8aURztL5lid6pCrsCxIQ8
L3O1xlMnxhQkfJz7HVIlV9GMmtfOyDTZDp3tqrw+5StVwHo/BxefFVWMx91cQMqPI+BZ5J2NUetc
eml4tpKUtke5e63ziKvunQCNNUfbKcq8OdmpsZZFuwF1QZUINEgg9UnEnKIlRzE0MP7iiQVSqapc
y0Ypo9XdHHMUzrfXZNZZMNE8JSkfzsZFlpF+ly/96F07gGmwCkvdGPUJ+Rb+5Y31Ag1kgqwyRHXl
IfmjvVxZqiIFXgWyNqUd60/KzElDP4upUMWlUk09RzvBbNt5f44pzaZoi4rGCxm0BfhvL/QLqt0H
MJJj3r0ncZPFcRjJmSfT1aiBbZp7M6RDwz62kQ9q4tjl/VCa0GNLm39YRM+EDXpUhwnNPqUWmFJr
aXraw8vLzLBwwEVPD4EeMZmaNk+S7G3Z1BkI4hCz73kV6zHdFMWw5j8zx2s2Afpfgzdty/WO6pG9
jzK2XpOUeLhjjuf1xoiDnSi36NzX2UZaRDVCOQZajC6Xbqb1NkOgrlFpyvWbJ5cFpkQmMhLDHowA
HvnwNZ16ceim2XEdUOaI/7ZPdDzaYCQV2HMxL5Fhp2NTrVEee8tKB7aYE+FDAJZ1p81C4N+CYP5w
Cd5y3XmeYtL46Wkh6QxKWgNX8a73HVuVZovOg6yqe/Eu3yesfE80Nj5dyWivaFYSsnXKCbEp47Kx
UZA0qveu+1TWkLkbMcUbzlIWrzAuERPW0EOxbqt/DDjP5qgjQST7Nchrto4ZN9U4rT6po4XlaSCT
tirLbZIViMbdXiHggdekl+MQIt4rWupl5wnjhfa/Q3wdNPTgcpAf4MEMyU3Rv9HKSYcZAvhqdp1Y
q7BrHccTomG0SLONJ9YIKgYQL0kwpM269+90d897u3V5tQ5OyP4I7CH97vrJemOrQVXtU2MGDhi7
QB+ASHp5qQMCHdFEcJwAa4Gywn/V2tZ/NaEa/bzxI0DJLz5C8snasKkjId5og5kVMrJKVqP2aQYL
W+EETPaUHF/ey3MKAQeu4T8+xekShXE4/Jw930s0cAb6NouvDaZq6lMq6YrH2xYHgbeLBXT+np7/
viB+DQHiQPmGgVw0B7xinjhCi5JEV81UoVDEOSr+qZ5zpLmnyH5ZQLrSdv9q2lcJwd0SqSnzGcU4
6mDBqchEXHWFunrKGGOyrKT9rPgs5W4SrT/ssjpa3Lt+5HO2KftqzefcITV47SJQj76zo+eejh2h
lfINipc2Eud+DsdisyHeqGfeXBX7oBqB6xDjU59HyOupP6QwQSL6GZFpOIoDoIWXrBvJat70Szg0
6Ox3suRWkmBCaplDpPoGtyM+InqZzhz9ZDju51n1Ps2+LMShGWE4QTiRmJjgfL5/OGVF3W06NnnD
ZdLma2ZaHoFQ3cqqfzd7fi9wivilofK31pMEhlz/KaUOyFk9AY0wn/SXT2VvipMmC4hFZrWBa9P4
h6g1SUD5U5y3QmDgsDsOYB/wXHyMwEQPaXa5L0sAyas1dF4gLqq2WQvGywKuL/zKTeEQGD8JRCDO
owgwmgd85jgvU+oWmZ/oynO5DHVZav5JOQTM90Lw70vBdD4mePhlEprMQ9nKiJVzH6v4ZA9FBgl2
BH7EmhIfL0t1MFvD23FCw2AYv/5kwCj8uOB5fqlIl0TZVJs7koGmfgorpvIVKjperu3k6A9VGZJS
OKYD7QpMOoICULQNO15N+iYbCZLgd/a1PyLylcLBYUIFBgd3CEdqw0+Bnu+MEMyLdJq0x25hJGm3
TE7rKYkexyZ7+2e7VBi0h7aNwfmaoIwWdLFBJ+OOludAETgaFIc2r8FIXTABToS8LSMZx/ZkBmaR
9jKa0pxOcxgxjMI+tk1Toj1zGRNVsy2LfmFdSCxRbbnxnQQFeMEnarl6a/ZzxlyhSeJvoqqkzfQ6
j5PB4ChPP6iUgqvJcITkBA2QTstN4WU1XOQJOGkPjyVBvoc76Bx8FDH1mF73LVD+qM0xKRlKClrW
FZ6MA/MAtC3z0b9UrIe6Af1Ury95W6wg09tjrhpDW9iN1D5d0iBvu5IuQdU6U6UbVesi64MvVEyD
cp4ETwDrEdlh4jdCv0vjr+BCNwMYL/Q8uWLb2rdYsszR7QxnBFOUNA6LqWzR52HOUGTFDQccN/xS
zZ0R9WmmiLeSFO3gwP/O+/7QjHPLm02S9yXoYDBDGtOPIEs630ah19t4JGXQcJxqYm9NY2o9buNG
Cdm8l7MZFvsec5B10gZsSpi6tF2L4cb7tAYLHm/g5zjmsEtcQ2kWlhRg+M8ZLXHrn0k1jewTldPc
+Zeg86L6XWVMlrNtVrUeQYeOhDZ1IY6YYca/rewM227GiS1uDogHxmQIARmp9MNZzNF4kZu2a5cA
Y/IxRZdvfId5bZqQ9liQohs/K1Lmc7KJBBqBKih1Vbo/KjBCXh/4+1HgU45sMKeP1YVfop5kuyop
FOuB7h/xHwj5Fb/OVbcWw71rFI8otdJFjlbSGZzUqYPBEVVSZNjYamyD5TkLxtwbzHsUF+tf15Xx
il2ZylgGSRyP13JOZbaZ0zE6TsXAT1LCl9PSTcMJGBZ7pZ1i4WRkcqnTriDgsgf3PoJTn4hY2jZA
9CWfM1cXf8QktZvJ0Ag9csG7YzThoLpYJc/9mnyyOcKxGmt1oca03miRJLAu8dwu05PYZjbt3yxZ
0ZEtuoVu68+EF/BYVd4ldX/NqKjPnfDi83Jou61sQY3jgEx8MtjebBIz+u90nTQ4b1Cn92nbRJsi
qeNgFlW1kZFpzvyFlbs5qjCdrmop8Gp/rkKRVXo34pWnPvrEz26y/THOY0T3jcmL43yixRLMJpO7
JCP2uhaYGQQFqKM28LiNb8Zp8W8Lr5KgGPry/eizdEtYR84EMUkaWM/jFwL04c51LX40munoHUjN
FOeoOm7uKUZQ6LNoTa8GliXprp4rb0vbsrtqBwEiBKlg085Tf8ZbN+eBLEc/jLSJEv+PdGBmPsXJ
iP6uZSKjW9vXHdqvtEzmYMCvjx78Tupy40WeOysNjklsBO2yd9PAc/RvpT2XbUebMPITe0uytr6Y
tCDnraKrh0Zyne3Gw3g2AWa/JjofTsHKe2dpzhO28ZH97uk48ipYFp8maOdr7+NYN+ND43lTyFK6
3LZtZhlOOtQ41rgsLTw3KeoiwEku12/qZcynM9XHTRwQWqeXM9VIxGj1wmHkBT/DL3WK+sxNjdux
umfnsiinAAz0BznOd6SPoktBET5D23cbUJ4kDeKpHPRGzpZvhe6qyzoR7uNcT8CKBGP3uA36HGcz
8lCnsawDr+fiFhNzG3BWVMcWBEbASNm9m2iVv2uTucvDvOvimyaZmz/cVJcsaKZ+CiPq6izIsD9M
gn1wgQi8KVlCMfnjW8PapAirZchus7JeAgyfyg/4uVcT1PVA3xkMN05r5vywdyQ6E2klbltfTRcZ
5hADxiGix6JRF0S916BT7uML5Xs2DQqam1vnAWxtfODGLJBZ27xVo8p3SPRKhSZd9ElHbfIW54dw
5mRM3A2zVX089BM9zupB3Toe3Yzo32+Wplz846YWc5A1ZfwwQyHHSaf7fgt4Ol93zsgocKLBJDmP
u4Akw3CqTF4fN8DHNIh1a25M1ZnPfKr5+8xF9vOwDMtDDwffDNqy1wIHHo4JKsWmmZruGrjXC+RY
DReea/NPC7HVMS9ohBNjoLkvk5kI1LIJGYlkqQ+eSubqRGNgFNZtlR3nsnc3OHPGsf+BnVFS8V2m
ePsRfGHz1lSJO6FzYa7L0i3ncZs120kj5aI9L9PLSpDuzPVifFu1kXvvfF/c8XxAcmDNPFyKuUTw
gGt7Q3nXn09Oj6fpOHELPsmvjiNVig3adpz8BB1jThfPRRdRlLh3C/OTGx+Uzsdm8bv3KPjxCYJN
v16o1+FslUp3hYnkBSbvlIddaYqNv8wVh7+7arfEnn2bYzTwNp5s3YQ4sUJ2bsyaj3XXixhN/7Jc
OCP6cxygysFalPZ9zBdTImeX05br3D+hmEWGQ72IN/4Qc0wMnHfvRQxn4y5mKZbUhHM5AYNvdA+q
3b/IJR90tyX4XwoUXVCYOroYvTp+C/anuPTEXH0oOneLZ2IQ0Cn90JZAMFmvs8vJZDgWKmuanhlb
s0+9F/VjWCQjeY0jSP1NyoahOU5YwUVoEqrPRWSdvzOkrMxZmfj1BvNlsQQD5vAb3yylDrKlM0NQ
8qi6tB7OIZzPXqOha0XGzl00ZsAAik6OjqeVaMo3fBLeO12ZtA7V5BK7TUzt/h9zZ7Zct5Gl6ydC
BabEENHRFwD2TFIUSdGkbhCUKGEGEnMCT98fJFeVKbnk4z43XVFhhyzujSmxcq1/4l2eZFO1g4pe
0kuVFU0WaV0tUGrGsaEd3Knv17vFq7sxPWythx75rcIyU3DXmjkpzgVYQVeGhkvnEopqjKdrUJy8
D63RSB5md22WsNFL5woZYWxEs0GLeBkACIZHkTGVdtSRTg7CoXFKauROx2lw3LMwlV7nD6u1xOYU
LKrV/fFsUuz0k2fDVBzacqm7KJ16Md77WlLkKIOS0u+CTouTsgg121f3mYWaJzBTu3zfLIa2HmYG
4DzU3dbUr2Y/V3VodvAL125JOY0Q7q1RA+J2zs0hC/HUFedBW1SfvysXzfFXi9tf66qKwI+qYlOP
SVNU74bBzr0hWpzcKU2A/77hffCgXcPRWMxqZxtjmV4VKaxxUNXAz+E6qLYOrGqBkHLHvDjWmS2a
XTKL+brIgG+jXGXqaCW24UWOp6cuUF3eGaci6SQ06SjcJTBnWHlnMIcbTfjKDas8tvvAtQsLiBAs
8dGQWvc6+bQmVicX89A0sWHtkik1RzOkhUu1JkQzgERuDtzUuVs0u3FpzEZvycqQSjrwA42uZSr7
TBFqPWeXylIGImkN5e+KyjXcdCdN1QhxbWiTM36AZK7iY9569ksyTR/XNU0+JKn8mPhS5AFjQnU/
oznZxV7cHXQ2D50i4XTQcu56KRezvOmsbNxPaeeHspWrDFzkozKoKlHdd3XpRF3nLMHoZTb1dRqq
z0MSr3u3KaEXExVfw3x6emiofm6jlc3GvvX71Lp3ETZ1UTaBQbEeWDABOr351Whk8V62de/tetdN
rvqmbu7Hth+S3aiSKT6BZiduoFXKP1VN3kZm3Zb7oo3FfV3oxs4f0uZSxEK7NgtlX0wJmdokPaS6
z1gUmWY8vdSjOx5WZZploLtswpHuT22/k4bT3KBrnIeT7OY48PtZV2FbJHloO/0kA9+oYrStCDXH
U+9wcbsF8P1+jTGkx/Dx7SGH94s6Xso5WJeiu2GXZ/PPnKKMspz+glOI79h1sv3o+k441jJ9zLPE
+AgiqPaIifxDo/vV3pVufqvlehdOlZM+6XX1ocxRqCUMbnvXjPPnZjaHJhBW0zxbetydR9OKVRB3
KvfCDND2HEuTi050kPdMTSFDuPUuZyw5T7ORfS5Sy/1YxInxVBjWfDXBKEdCts3JAsp+hBQwi62m
KRlYud5eO3Fs0bdSHLdFaH+2i21IX+pq27WV2X9qJk/LdqWTQdACcjfOqRZ11oR9l6kBDmxtADHd
OTdCq6SOBI6W5eK6lL35KU3ToQjMknMI8tJNvbDge0NgOdZEukhxqpzRdCNG+Kns6LWK5FzJZvhN
MrWlYSEtS//Ixjt3ga9583TUhsKJBplrx6wV5odNz7A31qkYg2zR5DshVP5pnDzJ9sDkuW/GGJVW
EwvrCkqxu8gFsUvQJbQ0V6of5afCHFQW9sCfU5BNpfo8DAvvCi8lc9ooQVdfJ9i0KYApnHZ1Plln
wPMEKVemVpp55KxfbKSt8b5y0+FiL8xvgUY7MkRl3Gpip7UVWmR9ncTj0JflsysnFRa91UelrrX6
zTi7xj2sn+ejVqKHC5xhTsvDTFN1pvrV8061aZrTyvm0nqhLtObGSmdDC8d4UwgulS7krpMTzgeU
Miyi0E6rNLeLaZ9MDhRPVYR5QZPW7bYxdgrjpc1Memqrjtenuh/r4p3ZGHMfMVXEBSXNd5pVhp0x
JuVy0HQzr+13zmjFXlAYbWa9lMhZtTqcNE/l8R4ir1D6dZE2TuOHTNvKlsG4plU/hi4brliiFF7N
K4MRlbm9RPW0xFVxWbwYSCfsRwYweVtOoFZWoJCf++O+G2WbPSVJYTdJNPOqQO/gErLqLphU2zjD
PqFXq09jOmrV177t1SR2Kbqsqt6JFg7wPtZNOKGDRMA11FG32Jqe3+ajLHgOtoaMa8xRWMNNTMjv
ufwvlea7Ovexz+sl8mWqxJPohJnefweRNbkRIUPpb5CtacRKXvAgb5ICdAwbP8N7uLqviR3ryjmg
915531qj97PnUc6plga1BwCnMdnG+eywRVCOh8cxBVDwrgYaSnWj576+2OGY9GNbHFZYN54WW17e
5J8sb6ynKhLlMC71xRq5vDUgpMo0+xAxjlXF99YgZObsHAS0mXXWx7FdGvRR2UCPw+yQtHspvZx6
rA1NVKCOujYRmdG6S5+KufgZTZRnH7LBrZZFgg5PILxZiNRrLGd7l9TKzsqdnFEC+WAHdeNdrbR+
3i7WSieGnZtiX46BYbe+vXOX1bIP8JHVo/TG8oOG6mcIzAZTXGCPvDs7VDDVq14XdFmo8tOu2DVO
76fR1KGfUcFqtpCiqzMu39T/Zz9LpluBavcIPp1dNXpshYXpjNe5sSzVTloVIrLJh6CWWnmf+2p2
Ty0tnBtYtVzsQNVzUR+6QUddqTw515iGpuJVrnpcUFrtKg4c9tExGqx1ueszbVY0CFq5owNlQoxz
KcShc+yhiuLKU5+0NVaLDIxkbo07r8gKEZHIVn/udIj1oM8nRoN61SamkS430h3tRNcfx1QU02ui
qQ1xoaM263At0mSPf2yKtX01Gh6iIbP16zDW7abZ2YveH42+cZ/LqbQBLN3YTJoQQDETTKju0t9U
nqOPkamLcXhCkoGcI+gk6r8QrUk70SAZJnonwK2bhMm7CuyWPvxaQQSqYLYKd+cWTnnWkr5BYj8K
TB9o/mSFpMRcxj7yauFDlWlDesBPwYNxVaIFFpq/YyvLNg9HALNPK0IK1kbsvx81veE6V7l3DKlu
Fx52ZPux5+9yNB9fNERVgIe5TK40ynD/keFyTt+7edVtXZdlZkc6GOfc2a7IPlEireVgTXZ+18xW
fI18M3lNOoM7782rQkYXjyAj65qpQGb6/MFTYryduzLlErDXwVq7VUM1dStMFIXw7wzgQzfy82Y+
GYAWWTSj2flttmz8jaLo7WNt5zmyyU7ct3HS7Aez1p+crjcC30UfmXblinOgX5cAX9Zyg9fTzCJz
7CfMZmWNcN/PJn86JU6Haq6vV2SqSTwrTtcvN8kG03Aoa3cx9zBX8L+6heExSiZrovRq+DCyYJAu
skcr6Vuagnrpr61RjleJaUxepItEunsEGvJhVu6AGnqouUpUCu5Hu0u9JKhowN+12tbx9p7t1QE9
9ZIFThH7yGSKNksjNvQcRRhwye1agQAEqyOlsysmhH+RpVfZbm0Vn0kEMj/kLJWMJkt+nfu03plx
r8J5EMuzS7WYLmqoOxmV7eTd9aIbRg4nRMtAkIECVWZzbZWxefHSsnCRL8VLFXRG7F80LTU/LWVW
nJUm+1s0hHmINs18wa0z1vAfrr+EmejzLnRnO1uicV7yPig7b4h3Y5p5JfW3s8pLbpiL2A/OLB61
OJXqBuSqsAADmmoJSlkZz5mPEiOoEIjcNChf9J07i4WhwDdxW7SxLqpdZeTpQyFUN4fsm3R19OdR
anWtt903591szcDQltnEN15ZWU8t6o8kmMby2eqr5qkbmiYgjgXsEaUnAq5kYsmX3XOizXpCb6W0
UKPzuO5GbEc9uMvHOhm1U5fzUkddVrjvhnFozoNo8aB0bnEFLuAetVj3HkGMM5dlkDifpLlaO2Xr
/d3ULeap6JvBDPPJm7duTa+Q9NRAPG7fe8feSmsnWn2NxqnKfHWohTmVd7h4s6gD3Io6lrodtpYY
d7QvxqVemhTN4mw8pfGinvx4MALZjzqWTlHsKq+MvyJ31iNb2MMHj3b/YNix8alBGf+k8xERaIob
hxXhCS+Qd60QHxzkNPDWeeMLwunhVo76Egfe0OgG78F66ydaQUdj2NWB/aCrGTN6K/JcRDN8+mpu
ze63HLAj8hSDSovXeQ1UajSPmlfa93lq2VVog+qfpKwNKDoUoIVlfV5G0P9uV0jwoO4TG1RRTRHc
PO6qJybappJ3nd03tng35GlLle89b9NMdS2+bMQLasmrFq4BIrR5Zy9IfJbDbOIhMSOr0dWQnvQx
rfL1hMB8GT7EmZrFZ1HbTXHMG68a7DC2O33QIm8S9txRvApUNnBt6DZy38gcPUIQaKy0jZ6+ZGFX
OJ2uTuOiQDEDx1Rib9v17H106nqgqLSyKFVJHROpLiL6PPQTkbY4SYLQxkb7hUyaNh6114JHm5cG
eb0tkKimsvmit9ri9hFEKwLCXS/npUhhUrOkQMUkk3gTt7MGW2iQJE9WvX0/Wd7ACJNZyum6x8ab
4ymPIIg95j6sTJnKb/K86ccm6mey74ydLq2xbz+NxToZS8C3yGwJ58amJQtWmVIZjjH2zdwPQay3
K7GdRPfLQ5qoyW1/G7VkNUWQxV7B36HRdx110YaegfmSL31cOqHSfc+d9r+m594y5LCGKEB0qMPN
yQsBuxn+/6iQACrzBh33wpeqkZu3afqucbFE3UGU925qj0jSJl1pGDCyHIruL07gLd28nQBCAcy7
xJzCEkIKvT2BTCx4o5LMfS2+n0D1XXlSFX7JitMaeLHvTOnv+Qm335nH7zkAnxuJsyZJfw92/dcf
//vwpdkib/pvkaP//s//teXM/vMz//3QVPz/lz9y/c/U2R9/ajubf30TJ/P72W0ZCm/+8FOcw38I
bPieT/sf/vJNmsOblJE3aQ5Y3LAt/UsL8FOew7/TRf8Q5fD9Q7+HOZDL4AmQR9ezDeYfitA/wxw0
lzBaRzdhUlxnkxc5aHF+T3OwBdkd5KbBvrnGpn8x/xXoQOoaeR7W5jBChchGL/5OoMPbtSToNHip
XWFhmxE+IqMfpAvG5LSTrifNiUkdlWJRJ+Kd1c3yBjuFF/3h1vy+iP4YHrHR6X8gtb8dC2mJzr3w
saj8uG6nXme28Yz65LIp3qzTYtzko+U/LtyBq7Zd/d2vj7e9Bz8cDw8QrjveVvNnh3enEWIhPZ3j
VaADSORwuAe5Wo2bQdnWCXOvY+1oRw1sIZn58OuDv60S324sQg0yIGDv3c3y//YlbTW9Vw0y1tPa
DcNrVVagyiV92NVirOpOxav/GJv6X13yn9xiwd1CuUX0A/J6ls0fa9PQD3k3e2516ipD3RZlOryi
X8hWestO3Sb68rcP6BgsUg7H6iWM5kd7cr5xxCYk+zHV4ubietKLlnTw2fct7SNqdOf517fV+Om+
uoTeOB4tLiIf3/R+qL5Lb+hrEm+MbaPaIhiduDffrWurTzTKuEFDxgaDXqu2N+GWcddOon6ssbrM
YeoUa71ROu7dsJjmCC4pRqgomfZX4KTqaTG9v1gFqDF/XISuwB3Nu2/zNHnZfzjfusJbnFfDeBQu
KPGDVpkivvRJqSOgb1ovQnlhzGfYrKXcuAhhPPAOLncaTeAR6YfjnLMep2kF4vWSQI46QepswRX4
2zGoQkneQL9X6Rl5SIkKtZuMm8oEGQShFKsRjWaf5CD3Gcz4Yq7eXgpl3NApat1udPXmQuSKujMG
R93GmQ+dvXZTIz55dO0LfotVTTsUgWZ+6Syhbh2qhBMhAiv8Y65P2m95mfqo5bZp/dTFOZ5OushF
S5rARJNifGGVqiwJjCzL1fVg+5P9XtXLfFXraQlwLxgmJt+2zeBbIeiWivdUTb261eZB3fpFC3+o
4lY+j7kpn9dOt04OGvY2VNMkn73Kmm71vidGwG9XypcCCNnlRideYIbUXdOVhhlUUyyfrXRQd1qr
GQ9iGL0oWzPxgtverE/14qtnh4Z4DB3bgOXvY6HuRrvjSmVh4xMoew6IjCR+NIHDumj0ZvFSjtxH
b524b51tPIw+D231Wv9xRiX+4miOusuS3t9BtwlrvzTZ4IW+0lIZ9DgT7r6v1TRPrDFMrWwer7NC
9a9l3mhZYAsu1lzw4x76Gfs8nT3d19l346w6oYxuq4F2z/fG3YAi4bcUnPHRk9TTaMAEpXbVYrNO
ptqxX5rek89pwjidtJV/5S+d/yhLgMXArjNWBqJWLbQh5i4dPTZ+G9mo23Fc5BxNDrJbUKRePiuV
YztImmJFIU/KQxJAfVmAaDnkOToHrnVmbAm8pOmO3+6/rQYBteTZgGsuU7OnpX3YkqVw8+1nmL7r
sFr0nLqxpkeNa32fusMUzYnv7wH2WcDp9no42JjkEYI9ji9M3boMp35GbNQqz7+zUMp1uL/p0pge
S0/Pbwb4SykCr8I2cS+dWmdSixsVT3uQ8iWILY0P1GVm6KfZGNxJYZPR6vTcQwNqh0XHJx21hAHE
d8wGogxSKBMZ1CmW5CsTvfQzjoP5dYLBm8I579fsdl40c/6t5/anh76up0NvYtUOVr1oAg2dFMQM
6mW8o4L73D9IK05xjSzMC7W/YPItQ2zr6oSRxd6Dslk3AsFROE3zMfYXdRmSRj04uH3CVMYM47jI
bmw445BG03jqdbONJIbPYFiU8U5z0uFuTts+CYZ4Eh8HzAk266ufyVDyM3WZkGAdba9JqgAgsIHp
aNYbrxuTVxp548ZhYjzXWercSL32Y8BYe7ky6rnigSsNmGeFhjzUch1e/YwRKIKUSrKIxe2f7Rhv
bATgjSLNcN340arxQkaGZn8gWUULyYd4qQ0Y1rxEYXhs8WpM/KDFogPRZEkthehfU4M/BNRldcc2
x1o24zrNjo4Ws0uvXXZY+kE+C2PwH6slBYp1E68SOKYmdbeqNH5UINw30jbk89JvcwH+6xfVeMlj
LhwKZmMWDzmI7m95hx0bKb/Axa8zxGSIH0+e9KFTfD8G+J295sFhwl+zvI5QltvJ3rAqT5wF+j//
t7WXxseq07T1tNLxeyeLyduaQ0P2am8B2RVnx7SsT2syCWcH0n3+Nwvd9Xl6wor04KZp+79hojHA
uvdIKAsXqmw+CWvUpsgCT3xDSddm/U5BNY17fABEcLzlpu3FbGHMSlv8zk3XrmZ/gsDn5yU7VvcB
o6QZf/K9OevwGsq42a9ek5WBmRSjDURVaFdVmY3cuiqWwYr+8GlxveaY2bX3zk0tPcp5qw6ofroi
XIB/nvH70ovIQXhX1pxpYWFMPFZ8lt0uK4EVdjDASXfTef1yWqzcu0EC6D92MHoMrqXTv+pl7l+J
GGdtUDgri6YdWSl9onsRgvxtKY1JnUZJ2hg3RJdQS1sHh0mQ+3zPBFl8cIbUv+pnHk1YkhcA6jXm
nJPr4UXLpM1/SIuaJaisxL9ySomIMTEL6j383XFJJ+rgJJK+PyBI8q7QMhCGg4ivDHI2kyokQlTd
Mv/zLom5LQ/uwj5Oglt2sOLVflmXnIL/rQS66Qixgp9jW/qzXqa3BJYBugH621fzOOoH3HbrFHSD
1r/WFqx0YFgdO7+5tuLFLdkfeybPOapEVnYRftQyjUqUUHQMCyPK4ftpGYQ7lYc2zekkYk1j+3KR
fl3asuuO0zKq22Gi960AGXfGWtbL2ZxNp0ZBtFS2usZUZ1qh3vnN82y2Mn1niomzzirJtc7TyiHr
LlvcOxtEt2e3cLCoVVhGk7YAefD0CQtoomznPBaIVUKot+U+1hrx7KQGhXXptPxqlp1CsfmnagR7
JcyMugjVVTaafpZjqn0lTsFHAzL7KuCc6XIyZq1HU80sC6/s2MlbfzAeQOHYnpJO1cW+g25fOZNs
u6MgQmjbxMK2PkpPsGF2lKr7eHuieY5Yah0rVlyJPuAGqylTw2CuOpoK0cuNz/RErD8a2gKkxX2i
tbwH3tDG+8nB2iTDbE6T1LsrC3ywbFUSPQKgc9Iu2X4pMi0xYN/plpMD2TwCURztRqmTTZChAirC
uKyyCMMMRKGDFgB2iR7ENVP9XADT3sBWTCG+WaK6UGtFiiiKc5mv8prH3941HpWlmFLtSWl+dtYg
3RGOpWw9BHkcE9Mx0Gi42r4cZ8F1tE5U64DquutDQPZxiMr6feJR0q0uGfeGnhiAfgbIq1LtqcGW
Sq5IadzVCDSbgDakC0DvM0ypdCSDUxVfsX+KvTc18dFfmwpEup2g15t+DqkKX+uu/aqVyztf2fOJ
dU1jgLLgnT9I/Z2olima9Cp0+qU6qlEgRYYuvVcQOfucTTTK2xROEx8KMif7Wplj/Z6nzb5cq/LM
zlcd7KrQIBysIfQqZ5f45fVYILWwuFXv9EUmH6TmjM9dY1o3zVTlTWglOg2kag+lX+IBnICTjTs6
P9BqANivwonF2YJEyDLQcT+Hoq4BlWPvqOXrF9E6PBAbHIoQM4EODXuGXuLFWrRJhho7cB8s47RV
kFSnQrBfUQ2HvLmMramdkLi08rovShZplVJtMqdjRa5TzLOPVZn2t0tBJF040XZHvx6jtqnjzWjs
AUS4+CNcE38zvtm3c+KKCNNnx5NHKb41/RMgZdBtje+vj/PT9OMRGAlQYQjGfoT927z6BzcR+s1h
zJtBHssabj8YXdd4aPtOA8tDUX5xNsL5/K0c/vq4P43+HBeFoMCMAWbJpPj2uIzkpZU3Sh5VXjov
g0bWR9WrUu1nQui6XVPVy53jpNTidtq63F8f/a2Hitmf//mI+rER8YtTfvIVLH0OeoJs5EiQAgMI
4inzgUC95pK7PdV+SCT/1GXHWLJ13iQcUdy/ncLfQuz+f8C4P2Jx/xH6+z+I2AGMbpDAf0bsfvoN
T1uu6e+f+h2y85x/eDr2L0Ns4TV4X1i13/NXiRf4Bwua2coHY7cJXOGv/gnZuf/AzcWzAn/ZrCsW
p4HRYstgtfnlFAB1uPccUAAPj93fgezeYjzAvlgxt6AXQGAihvgdMW/XNj4y9DoidS7+Nm19A3qE
UXfHdVnY4oauF39hN/qzA7rUCEA7oQPM//AyFVy1NGVFzp9AYWlMMylRPp2DwwZyTEBk/sKC+BaT
/H6BpA1yv8A5yYj6oTj5uUMOA1FkF7dJnZfc5wBWnhsPvZiywx+e/Z9Akm/rxLdD8ah51iBXOirb
Hy6tS9mqx8KwL3hSxEvm5t1RDGSzMmclwIQrKJ1b5MbN/0Np/JOrZCUJVoOnE9fzo/lobgvSE7XO
vvRmbp9qDwsZU2INIkRezF/mIoJa/6Hgf7tQVqDh42MysBP9CJshBe0rV2X2BREWB3LlNmahjwGF
mQaXrre2cpmeSTzrsXp06DWfAENo71RJn66btf+3PHPbCVEaN8DZM1yyJX8MEkbYAP+exPblOxLi
V212QALEP/53xzII0LQMljAL54cFleQW7fWy2GQSMhyONg21O1SAPBuo9OsFtS2Yf2+s3y8LsNcW
Alunp4sfANhskHQPzWhfpjj92psAQKNZaX+xv/y8dBydIkSmM/+mSv2wavUpR/ZvlvZlhcm95B6E
XeA5ADnGWrDL/vqKfvCofr8kkHIDjg5P8E+wvRdbBjFzhnXJzayoImvimEasbXg2gULPHkDji018
AoEBvroD/bVOKDKt01+cxs8r2MEgq6NG4VUF1f8BUI9JW4tjp7AvyhvMs1XUBs7T2PeupNazQlGr
YWUvTEaAhbwRoLDt5RVbohwVpDv++mz+7AnY0NtkCfOk6TTe1uCiBNesCsnLu4F5uo6yc67H5mJL
8mr//qHoYiCRoBGIy/thRSnpdU2H7/qSIR6+I6eHV1YrFaXec3gSvz7Y21JP+bZtUGp3g1w53E/L
V6ZDUzLqa+cYbA5PB5Lv59oqgV5n5toJSYn3F2vZeFuCt0MSaUgus7OFnNq0pG9vpSwAJ1Bw+2f0
qtkB2QnNYd/16s6ZNXDFPua5WsQx3qZebj58w1QrNcA1aDXDL5Gh7XFt2f6+VRAAL4Q0CxqnNYiB
FhkNjeavbhK/TfLNWy7Y+N2NeBMb52E5P7XPNfJFW1WWfe5LvdqT0bzum8zRiMTp0ZOS0bJgVyjL
vMPd1+RycXYGX/a+o/GtCBtC4BrEVcyDxJU5vK7MdK+411i6frpuEz4htWm0qb8moiRmmkUj8e2X
luy8u9Jpu6Oe8zHMbxYcB5+L+ty0TrOJpWLAk3LxEts6dzk3EFAtX26TrATuRyHlPw5rquUhoH1r
IA4TfDU4YgeI4MOOhGWXoehNxsxyDmXdcgxEFxcHi9AtqnJdD+wJwBnnvyTCJG1YId+RtsYd1oMG
p+WcZ8CPC7rsCkiiM0BWv5FQBakNCFhrU56JaV/uMDiD8ZuDNsH0F0n20UBFCAqzWk6B/QTtwGNb
Nqw9RLsvBaJTTEe5KV4Ww+9fe1xU7NDTJF4IXDE/yzXGqdu67V3nMASKmbwpnE9Ib6m/aAlmX7Ch
GothPGhWy0uqcIgwamshVgvuaAyyv9hmdoiJqHkFCvAi9HXGw0DuBMDnHLt3fZ+sj+YEQCn9DVuv
HCB3PBv9a4FN2Awc8tZ2a49sP/Q2iH2EZHcCREvWCTCRb6nyxXhYB+6bPeoYDr7tcnj5IWR6wggR
45Kbs+XHDsyJrsvKJlYJ1xKDyuqe060x0TAPfkfxsSurO1I6HbVDCgxPIerSuCHNj1VT4It/cR2C
BoMlz+UQTs3m/pv0GGBIbvVSQzwBsWBPwFMmKu02JIqpwFuyAU1Ok/L+NXqyJLtv7FKqVRu6JCr4
i7ghZCtyF5v9ZihiRloE4qzlKdf8x16P+VpvY1eUZgGCGWi/A0Int6RvBIhmMCAlskJpJev16pZr
gmyrEi9TA5zlpKNvBj3ZgGVEZmV3jwHIPK7rnLiRmTj2x3qa6gdvzZZrZCFlhG63MYJcKw1vb2R6
d85K5CyojjlMXyp0ZvXajJHex85DSewmsVaOVxeBSyDwjad7+qWyyS1G/eb7m1jMCpXQ7HCp1+Wh
IPF4NzaplOcCmQ2dkVOgfNH7+v0gexC6PB6rLw2Sta+evTYnYbrjDfbysQ4XZM2YNQsqU7iWFC44
Z+ARdHTyySmLrt/3YnE+q9U1IhCn+qrpISj2myGeVLdRZpGR4xfD6NncIBs3Zvx1ffoxIdQpcBmj
rxcndQ5tvUCGLIPbHtBTOc9glMN+AZX/6BAFc0bdhGpNzfb6sS7bYieEuYa9gUo+8mIxhUUx1x9z
smQGBNVpHxWIpA9bM4qAW5H0j3Oj0nYtPSA6NZyklWcOW2EiChvt7B1AnnZCDYjTuUv7/SLG5Qty
x3mXapn2fvGb6ikrJjvE9zMEst6U/3ALgVt0L+5g835kqxbh8k/DceqMPZp9vsjTbmyV6pR/K0YR
V3RWakTbEN8MYdH6IBlBB82OVYMnL+crOl3vaFrGIqIaBJxw3pgD2bjQIntM0pNH0FnILy9OI3xN
2s6smvGDLBwUlATE7UdRYMdL9c+l2zdPfgk5mvmG2vdabJG/xXmgYqvesyutBQ9+Ta8cuyVFGIfj
bnYTM79qXL++1YcR+Xk/sKg1h47sZUH7dqOZOa9Ev7GIu0YOUKcO0UxY8CwFukO1HZChbgRts/rG
w6KvLFkd/TEpu1hZdt6ohE4mT6rQX5K9ATjvxjAVhFk1z7Fhq1tc51r4DVceep/92BsFxFBJ2tHl
O+GpkxvVH4psoAR9g6K/kXqaYo6CSKOFc6bVeJikvRmfUtEebWXn6iiMQj5LyEFOzZ0AzYuyLp/N
pk3o50BbgZ+bjTIixlJWH8kx8+TXRU42hKaLtLJ0hx6bgz1/AUxuEySxmvjNd2L/1KV+f8S4liBl
x80zooPI00/oXl9ybBI7YWdbsNNC+XgqV7IE77NVNtaRiFjvZuoAwBzUnrt0nttjrjnrHpub/LD6
CdY6RFrzh0l01Z2TyK9muT4puPh3xWAOR+qqS9bx/7B3XstxI2m3fZXzAuiAN7colKUpGtFINwg5
wttEIgE8/VmQeqYlSiPG/NczEWO6e8QqwmZ+e++1gx6jomzNLwky1Jcly9R9QtKnveGOz7cdylNA
/tdTRPbSrJjDDsbDyXWobI4mALu4LhGf5k0hRaIOA8TFC7tr5iuyR9adCxcDVERVSCN0OQtEgpgn
PGr1ONXbyRjKq6nv7fMC8P7cGba8qzIfqGNjiM8QKsttM0CqbwJ3JGnXLmboxGaGtO9bOHHSHtOv
XKDKVV3J44KAZZRXvn2a1fgpbjV1r4akuDVQCq4wdDkfCiKywKFQ5Nest4H0MVvJdWDP2VU/OdZJ
CxQhu3RMxEczU+0FCI9gW2eOvGBEqMWhPYiq3xs88nYai9kxIlBpxvAYY2/aAXSz3rlF20JYtJb7
NkvjS32Wy+2Q6iBMx0S9l+XQyS1yvJ2dCMVNzsYnk8ZEPgYqdO1Oumr3QSrFgV2udpmTOHyAn2gC
7IKKUIekLnRQaFw814o3/ItB+OpKtu24n3gRXtS5qMqoDdJYhI3B9iLl4bYvsJKiOrCywBQ/euNt
YhKqDus8RlwQPPLeFxN8cFhqzuWUmTxGLTwwAzyjsVaRWfUyBgdIincgdoD1MegMf+uXns0D0VBf
G9OV8S7QumWXtIl9tG0gCVbpLgchvexOwL94kMYsHv1ytrcjvLrNkq9aBsag0NbT1AinJfdA2Skv
2xhwOr6Qu+Y9NNBssYm1MSsjclisrBf2KXW5eKRCmjg7m7o3Pei90q6I0FtJmFmdtfM1C6d7jS69
gwTuELoys0DsJdfuS0wtzlPrW8NnZo7eF+VS8LHTiZ6IjSjB2G1gwpMuoBKgeVmGpcPMmy6zPHhD
+4L5M7kReYWHdaG2/WSpKSUT3NQAK6asw6/u9f1qSe/PWqnyrbkWIkSwUYNTsszTRGq68dLQkfbg
XxR4dWmV8cbn1J0Rsr1kyc+6F3s6cZG6PNdBSSK3Bs9zm2oWZw2Gv2EfqhZqt0S97abY/t8s9Lvb
8Hd9g38bG791SjkozD/s/35xL958rWsxl0Qb/6mU/OEP/svBSPchRivGNL7HsIr/9e9xqE8PNWgL
xkpsgrCjrlVE/xqHmn/xt4i86ryGA/yFDMn/HodSXIaoZeJsZEPLbP6/G4d+3239M3Nh3O6xFWe4
xUjUo6jk9WwLW71YqlafsVjVBX7/NahB3klZ1yb06WAL6Zx1eVVlfbVTg9sF7Av6/ogNwtB3S0cU
fZOyjg42PNNLB8KG42ohg3oZ9cFnnOjxWbkufSCzgYs9w/cDUIrtOtR2IXAb0XK1kCcmH21hE9h6
y9ySV0qZ/IPUSdkXGWbz2Iu5P80oWNcGOgmy77I8xKZmYfYh3LjtA73Ntyk8g3sM1lN9YJ6B+8WY
dO8jfU5ujVTekOVrGAezlm2DAq1piiOZ1ofMW7KvmmEknxX01Sv85t4zbIhcRgHa4WValXGO0ULg
keGJjzdYOom5BSjn3OBNKy9GK8jPWZMOV6MS2t6I84UIUQw3pBnGacteDPKCl+TjxuGgbKZJSQxl
LpGKqkKBJVuvh2PpWA9+z2E2NDhUoVz1ytpN5BZXtn0wzRVSC9gmtDPbACkZVDcgmd3d4C7Vrb6U
DQk7vz+nMaN14lVFfXI8s0VZX+JNoVJvZ6K3gKnxq6vaMxKIvZ6rQJgX7ZJvakd/wnEyXMrGfhbs
qO8NIWp/7/cx2wlKWhIW+rA19+TRrMepLMwddjN/X7VJTmJjieMrPPhZNFt6sanIlV85zijuPBc1
det+kwBXMVCssqCNPuiNNyAOMIUou9vbKIi2lGuodZUVDU3I94SMkoe+sqbzKFaQEVok2HDQ+9/k
yVWohB1VnrD4xTgI8vrWWQXNwjafsFEBWl/FznmVPetVAJ1XKdTVnOqgUEf1xmBJXOT5XbxKp3IV
UeNVTk3cZl/klr+tbIXXUepNFH+TYINVjc1ZPuzkqtAGSn0mR6Ptmm8ibrrquVzkDAJWjVesau9S
BtbW8B3FbtKEU1A7tw1XG/CA4IItACVJq3KMo+t5Aa4DERVFOV21ZWdVmQn7wAOUKM+GhKJQrmo0
bLHk2K4KtVO2bGNW1drzRRcRjZ63vUEUufymbo8d1803yRvKsLlvAdSEEgdQtLZwFPgLpLMFGcic
cdXOxyQj57l37WpGVffjcsp2IjAUertjLDbqe/5di1fflfkZYBGAHfwc6t6hIw393umK1Hg0bK6F
re7k2QWZCu928NM4fZrsBV0bJFFp7epgdeYRZZ75/BESqz+bTwEra8iPON7GTQ+yqAch0GjO8xRQ
LndUjclGuWyWnI6AXF9sUoSN1o/3Y5bZ6p6whGSVkiQapi+27WP+nrBtv9QRqeTaW8LUWQFSLTyD
aBRQgCMusyR5zwAl4X2eGhnnR2sqFGrVzKCIyQmxxDayabUbKFBdUZnXvr9F1B+K5AACyn4vm1oN
n70iMAoXGxU6zhiWa4KIsCsOz7COi8Hiv4C9HOEAUfYUpjrmt3d1ISH56Z1luhtz6M2YG8uYvs86
/6davvGmpv1khVv+Z9Xy3y30/8QM/v4z/9Is9b/4EWjNaCo2QOwfX9LeX4z2XAzTBtrgOrf890va
Mv7SEZ8QJ/kCFCP8oFma9l9MY+j7Qh/zvr3d/xvN8tWQFwWeckoL/dDhhY8d4NUQO1GTvvhtI3kT
yGTYlAXT+g2jxODSlryTmMv09WXhAoWPgvRNt8PP03rHYWGwLls4Prge3F+kA1L3CxC1adgraY4E
jHkeG5lZRjOIuv9KGPj7oygw1skcAG56De7rLaY2RuUMe9tgml2aBqBzkbZbyze66Icr4Dfa5e9+
Kw5lYK0LKRc1+OfB+WLg3Z1tewBDN2X7yVq6iKhBQUjZe6v/7ZWh4dsBJCGi4+DgoqC35+ePmkbK
REqHAxhkcUDrm3nLq9R9mUY3Suo433iNtYox6wOa7PEbCsHPktr3Q2qBSwAgwjuExdfPHz7g6oyt
dhhINtluCCc63dZExf8rPXL9FMfkuqTHmDwO87ZXnyIS3xJjF8s9JCIXlrCJexWIReeN27yt3hRk
Xxljvn0cUtq6OIYM6r4Wnh1sJ4y4BrkHEQ0jrei/gr99YcBVhRBoL1xS4993QRg16Kr9zeXy62F0
aKBCAF4LKA39teUnTotcsfuT+xyFbQPJveRkBc33J/h//JRXysi338skbUOuDr8ABNafT5YtY5hi
XSH3VjbShaVplzSmnBnLAtbTMer++Rb43VH88dNenTTCiUlHW4vc++BL8HkTPB55Y7f52vkaBAML
xOLTnz/yVW3V9wsFVwhdO9SgcUG+epTNKYRESAYw/xjQn+3GLh8TKG1H0Bc+oZSkiGTHEnH2N11p
M1AfdP/EmOsgk74BURaMEGtMFfbKaz9Pk6UdZ3IuoRkP3f0KXWQ3wGC86JY3HkzfXBo/7JLWM0NY
0UM4xtRi/nLF+SLBCUssdE/YwGZWqqnCC5nSjFvQfSvGHEReC40/sjh6W7Oc7A86if0bwALtNfoO
DvI2Cc5EIpM3bnDnN5cmWTaDVjf0Tf69/vMfXGJ5QJ/fAqBiT0YWw3fqRFlPqL7z3WFL2Yp4oGUB
GpRyWc435VKfQJr2lyiDI9ugaWBOjTEPox+sE+LMoWW0cRTXPl2YZjJfJNLsr0130Y5LoRggk7eP
yMRSVTSsSg0+5McB3tAmsDJmc7bm7Si2yiAL9j4ywHQamNuH8BzkZoidgLYnKubs4kEqX1wX9ox2
Yy0YTC0JEUAbzk3gLYeOTVk42wg7E26+Sx1Kx5PWd+M+r5GdgNi/FLN1NxCYZYSZFAcad4czP7ne
/flq/fUGIVjIwoC7nnfwL3kwoCiOdNR60kV6zZwtpYhFP7JEfCeXuN1KCT7z//CJq0JKoBCCwevy
4QCYJoSgYtj3cQwnwd6WbEyD2r7srRrTeOA+//nzfn0L+g5jCQb+qx0Ce9XP145IghHFWA77fIZ4
ZY7rTgjgw9Y3+7dq3X69TH3HZ9Khu/BZ0H1fXaaJdMZcjQ1vQX90LhqtM46Nkt4bB/C3n4J1kGUK
Hckcw59/IejjWjXQeLDX2IlgvPcC7UB7in/z5+Nm/OynWJ9j/DaYM4nSgf/6xVeAEXkx3Jb54YQT
M2Ikne/wNCSRK2irsmNBmZLFha8TWzv1/lNvJvvGLrK3HksMpH4wzHz/GixhCLsCejeM196crmvA
940e/Nip9LZkAcpdrPJhZ6sh8zeWvdhHowZi1uvN17JR3h3F4GqfOPp4RU2rdYIP/WYz4W+/Ew4+
vFkQDFDmfz4Fia1pECEssYe1UB/13tkGOvrHUg/ddSxaElvoB+9LFI5NSUz+jHAH5BzqDjmnuom8
uvxKd8d4XfhThIb5QeZEwTu8QfczvUdhO2TOwaF05lTP0Aj14S231zrl+/WgMpdjKoZnBxDIz78A
3M6gmn3FQU3nu6T32p1UdvKQ8hSD1ublUUyMclN57sAbq69O1PJ+9DPvnejd4CjbON6AmRm3jPaD
22bxmncInV8XJ6aA0E+DnWqTOVJFrvGuGMpdn6GrvXF1rrftz28rss0//Aav7gI1AA5KmlnsZ8Y3
J5wF9WlwyBeR3YmGrOchz3Y0zHP9aDWM0kULnubPX8H6/UFkgIntHzfM69vdn3mWoG6KFd82AKbC
9v+JZdWNZ4sapKT+pSnH6QmDdfpZrB00Y8KQ3VwV+BREUCJ2po6G1KMMrjxNVWHil+0m5QP3kwMp
hqyJ8XWuDYNHpXfvWSi1NBhGrhYwyEfvN0ZHv9QcozwsTfPRG/V7d+aDQA3KTasC4bxxzH9duoH7
0WkKZYWAr+x12wJOHQpl8Ertu7x8qmOYknkZaQuBqGZBpvvz0f3NYxvfucPOk4pI1oqvdhQCjHO9
6mD7NqlfArq/eWuPOa7w/zYFvj7n+CT82IG9ekpfL+xB8UioOA5XUp+8A2uXEFpdsC4QkoTzORcA
CXVX80/Uu76Fzf/N23e1qq3tFbyYWHj/fBsOSdYB5dNXiWZ+Hw/+zYRHhTnWC1rpJ7a8bvTng/pt
7fnqrmFoRfJzNevR3fHqrgExJqYs45JlG17fSYt1z4ykPdfpuKE69Kseg2/IyilK5pbFje3j/hRJ
H+msVv78VX57MWF35s0CwR7X3s+/eiaH0UlH7l9idEOkt54b2ozU6CBqkIbT/OXPH/ebl6aL3YnT
zFgSOuOrJ7YL0jxhIM5Jnvtpn9B9vVmoM3tjj/jb42swyeBK4vCuwsXPC1VhJA2jQrFnj0zd2jgB
Havhk7ixrx2VgOeZjIDAKAcstypOKhg7RrmdRu1iAZT0xv3666YcLza7QjblqMrO6/tVMRdeKLjg
y4yQxNPES3aiX6DUzskmqcD8taKq96RqzbBBlXvjBjZ+dwezGuJgs27H8PrqWhvweJoW+dr9bNjp
p9brEVdBiA1ngqRORXipgdUMM1QnZDivSTxQE6gret5Caa86Ly02ijLDqzG1GBWbwyCNDaB28eXP
V8ZvviYpDFIB3Pqsc17brFPNz2andrs9Lox+J+1l3OJ7CLas5bM3DslvPoqeDNvDQMkYDu/Wz1dH
lhui7bBq7oclrl5sa/ZulzqtgFO6+v/h12INSiWRu47UfnmqtWsGt/XRHxwz629BVbu7ZvbiC+oY
P/75AP7mIcYnMRZhiQh55vWkwlziJMfQ3O0zS0+ieKjb+ypBBufttoQwdhG6gRe88fj47aFkf21T
tmQgBry6n5NEh7mNNWU/m8a4qZyJcGZeYU3SYY79+fdDpuS8vHpqstIgbUB/EU3Ur1fcPqxImSwG
l4jdg2Vw5xm8fJbaaomoPqvLjdvjinJZk5PVtkal7dg5ymmL7mFVt0iB3FwZrrbgGKO2PprtiA+P
xK8P/L1EMSCL3aUfGwV9tsDnK3ZJWhK9F3g0cMTwK1mbVWvyI8yKytgpS7fmC0dLg302996ybVBG
cnqFU+OdK008raU9OWhYBgWrWwvipPkcQG+tvro0eJhJ2LKDSS+mFAr6igjr0wdRNsZ8LMH6QT/P
jIrOLr01TtUyTdpeyGIU105VS//KBhIZ37rCKOsdf62pXaXAmE+htIOCRi6MXcmV79WOF0koszT9
OV15P0Jvjk99rTUHcs91HM5Jb8JdTbNHsCcWCEVpN/mRorKkxa5EYeAahFwdhtQA9Jf5yHYSl0+A
B2AvhELcnEZnnqDNzTFOPU3EOnOHqjWjtnLWxVWGTP3Rg3E+hx6x883i0wp43zrkQPd0Y2B5xbQ5
3gNr7octWf3Au6OC2QcWPI+JPLKInXadPwXZzgaPBv+/TRY8ciIP0Ah5RW3LeB3/6ZoZFLBRHf8B
4Fe5mcqqsUC+piPew7Z1DpUvb5nz7uTotE+gdcvnUvP1u4E+TQy+eKo0zL5bqwvOslzVPLGbUq++
o9ggHO002cIjyfamXSDkBEW1S+R4ssZZbcxWfMwLPCSORGiR+WTtYJh+sS1NbVcT9oqd9fauUPo2
sDN3bxO2DFkxL3Dgg+RC2O30yRvwatpyzoksjh+XznUOozXhcprmkMTwI+ghVEW3u3GCqt8Cms9u
CvqcNlLPjAu/KtMrS3E+2C2A98QhOy2Ws3c04zbLULXSeYqPcWAXmykvJIsK4W1K3hKREN5yC3fs
2A32EGYLfLdsKc4F0yUsif2pmCZ6VvQCcP1Aw2QOvndTYD+9UFZKmD3zb9CA7yotnbaG8tPdsvTL
ZtYGiWcQQXBh6XoHOLz9UPtCv6xTD+AM0Ido0of+xdW6muDl2EY+A+u91zTOsS8DjMWUXB6pazWP
goj6liHFycTwR37a2BXO/FzpsnuG8HHwHPs+k/OzM8U17s2AQZ2Mnyugwz13YOUfR+nVu1GjdYPq
K7yifnwSsUXFTNL4Wz23Nc5Dt4R2jmoHwri9oyJ2vOmSHsqhnHgvWuISULAXlhM1NbNGV0YH4QLn
TnagSrA61JU/vtgCHuKcKZTAqBizYZk3sulqmpxDVpp9Qvl1FgzviobK1tDk4nkC+mJNkdexj+Bl
ykMiT6TCGroU17SUE4KgECT0C+OoSyrmtWZooGwu/gX/o9lO3BDbmDjcLC4JwidKvAdH7AkgwWZs
qyJahNm/JwOyw3kOKVIz+c57TzObzxMeyfZgFaUpo8rvwe3ODdGCS2zJQ44RygfAUc6jQ6SgybCY
xk2XHfqeI4WFuC6jxa/GdylT/RuzxN8fV3WRHVXu9lsnyLprQ5k+3vpRQfDrGMalmdA/uauZOWS+
2+K20MuLlpfs50H4ibstZxinuXIy65Iok3tvj0X8EjDclxtWARWb73jUo2X2pwd0puqlb3u3xn0t
jA/UOfXwOFvnHOBTX+GP8C3oVt4PrFje+bOdvx8FP2cmfYFzz+xOS8N+OptADRHWE09M4ZBBckEa
YBhJGYWpFXTPtGZ3n7vWLnbFpHXPXgenlB6JoTxiCC12Gb7bJ6fpwFt6jVIRdoNqiOQiuDlKU3M2
hW4XUeK6ziZnwXWUnVNEOEVN8t9D0O8K9k0V9imsn+EA6faxi1WybH0nM2h6T1ScASABrLupkAaP
LUU76zWoqVNCB/y9XqXYPLxemujmQ6s91gQfMW21RZBeJObCV3WLEXLCJNUVBdjJGQOjHzV6u1w1
w2qjT21+qtWS3NAz934cTGcJWYl0J7dN03OuRPuB0Z25ZXDmnBMCzi4tQ9WyW+RU7KiYt6u9hzng
XJbtSG+zkzpnbqKOm4qzyxC+OxVVQPVgmraf+jHpIfv2RAEzjneWFzP44Xre+zQZH8jSzdBBze62
dfr2E4yUuocXvrQjuJgc8gMrvoMzVfxYjfSi0dvdqTXgSSyjaD8Nc9s/jynHdfG87nNjJOC4Fwm1
NexA5Z9gtM97GQziS6CEc7aXToNd1ATJecrWChnl0v76Ba+O7QOUNZWFfwbMWQw/hddyG9FikGw0
WpY6kJwpSBFfSqyMNMwb71p8zGe64uKH1k0TyBGywcrtFtEADRcOPsRgIxx9FpGOtMxtQtf1aaZV
JUo0OV70Fb88uMLpwadtCz5onB2slj/d6lpylkHnYiXwqUIPazLaZ9vqymNfkD8Jh4AhTpQVKj6l
1cD/gfZoH0OCKocox4Mrw4X7nDFWLZ7mmaE1MEWic4ntbOJ4Lo9GP6xXuUyBN7fEM+6p5Bkf7WaQ
lCGRFTiVjl7c+UPffrTy1L3XgqWjcqpW6Znm3doIhV33z2VHuIcsk3zU26m4y9bTbfaxf+nkBmwp
e+SDCg1UDjksWhu0Jj3btGi8A3Uw3+iwel70pcn22mQ7VDX0fnxnViQqOz2tL11L8RObpbhjyT49
BDqKzKJGWzvBkhHpVqvS+cVrGfNtYpnCNGDeIqhNcnHAblyt8Wqe5AsBvkxz4zs7ZcsVtlJ087Ea
R6owUvAjN4vW9Tx6XZsrjWdWei6LvDE29I81NxqgfNDjc8m51oWf0i5jNX69CcTw0vgaeyaQB1CD
KwUZocmNRztZ0Us4YL+6Yy4BAZlTd8vTYnlpMJbTI2/Wc7Hpc0d+pRUez2o8elz7bcthcXmTi72u
CqMPXZa87xaz1O6CQedp5rnjV7Jk3e0Q1wz+O7O9HsYZtFMed7fG4Cdn+h2z/RCsdKyVOMZzDCzL
7HN/U/cxPHVZVuu3veYLnvFNUTnHZm44eIS7rtgTx7sWngkPMWiHzE0HSyIIW/6HBePTdYzVaj/S
Anew3YpTw2vz0uptslKOl2Q3ri3aXVvb4qFvR+oilvQF7BF/S7RtG8Vja31yggS6aYsRvrVniBIW
lSDOSEzJ4HiFKJp2hHeG+3CwqvnOqKDdsQgBW2znYLvKhDyC1tzDm74aoWihReoZe5m+j5QMcipc
/RNs1vGUV23PxxbuWVeVcZ16Fc8Na0Fe1zPtanIpCqhnJ753oa8dgymTpPmzaiEHg9jYEZ8+4tc9
jfNMswP35pWeqP6yTrz6lKQ1jWqmxRIQghTQrOQjRWPdsfDqNcszWl+gdJ+6TDd4pPn8hyW6be0a
7WYayDwSOHtivQ2vl6bxT4FadaZmoKtLM49d3HioZSkL0jFv5id/UsmdXqdqR2/6wSXRFwVKA8OW
dc0B+PVH5n/Ve1pBQJx7DQfJBG7Eg54dDrkC0j0r9V8cC02nRyXW9HNR2e1OSInwZUiIzrNSN7Zf
QEzPc3EvO0zelgqSO0nVJe7C2LuRelCHDKZnwkyx/THIAvfRxV15yDLvES9UtWdcSjhDZykHZnjG
bgw15SrzGdw0hnmMrcX4BDRD7SDO6fvBNBaiftKK1MjNKMgpgsNnVJjMs3vB4sJ+ym0HVPHU7Lid
eAA3sLnCBK/nPiiD4IWaB/NpIqx2HVTBgmuhst9B6s+BywX2zuHZdVHFonw0CHveziNnCQfg1O08
1oUhZXKU11Py+XVBajI3bTJk113OZZDVdMbDL65p+2rxqoV2RaPO1MKeRkAIgwXMssSpuDHthJqs
eSpOiaoPQ0FvYOjY2mUz59PtoptPQ6ZVO25F8LlLzkLNIT0SkyuqbCd+KIuGZYY97kCp6XnY+kN2
5+v9EtG34V+IOVuZ7+k2dcoipFTGOVetQ2lvqgKsqrjKj/PcjFcueYeaNZpWcMO59alNJvpycguv
dwewgvuur9mWUtnIbYSGNl6RgsmfKwCme1zANa8ciJZht7SMNGSmweejR+JyZpjNrs4bCeDIPi9O
gcr0O8ezSSB60yEeiaD5orgqOcsXolaw2m1SJDMCDx15Yrhk7juHrsgPBswa0jhWyD7nY9/UclOl
zoJXn7KW3KtTPxzHwXieZrs/Nqb3yVjcr3HfdB9YsZYfCLiTJBJCe4CbpO2sUSbbwZPV7eyyYikJ
IyJ6B8MKAYL2zXJoOoxmNQLJsRplR6OnC+/gFcAceWi4zVmjNYlY/Ow1Z8Y32PxMP4drKCl3X7hG
nfxDVWHdNDufpFDGHJkeER6geaqGL6Uw9U81lK8vUMJpxDDJhJ87XAAnp8+be8KGvnruWfFw3jI2
ORVMR94SGoHOsiVouwRT+563JbOzBYShZOjPPyIYAKmpLtiZFlVqn5KVGFgVzfBFSMEQQcyyeing
+tHFvQzxB13kxidyJLzpG3sGF4W3/gNxUTbhdpzhdyY4Kb5oTqtVQKXGwNsuhVPflx35tFCkk2p2
XjKMzc4OFBMNOaVcHqkpWeA0ddncp64sqAOkvOYDLA3+TNBOhMy8PKDSwK51LqPaopgE9yLfcps7
2KWiGpeWxyZm4kNzmEDiIlucgX2jXo9GulGtypIdi1d+8kJNSHO0FePHKLXpKt+DpGYJMKCQ4gqd
4BnmqW7D7cFrKzdl7HKWNHrY3Q1ZgvjD2I8gq0mz4lKOE6d6MSWlH6HsLOLhinT3h+8H0xm1BGo+
8mS2WYSOM80zlqkB2YSl1gqcZEPfqMAa/G0oYBl2fe/gH6v3ZZYz7sFZQLyNKpPi0BpMgc5m50zG
ji5E52IG8H7vKBwVnEL01o2KO36/wnOYh/StXuQXAhfDuK9mjB9XwTiML6PLbDSUptOmV65mgJef
R3Nfy7p+qozAuy28oKMtDrLtO5W2Yj5MjOHjsy35pQ/mqHN5sCrnW2d1zMlz56nW0P+oKt9wTrh3
mf2nwD3JCQKH0gb+/0ttii8Zuxdq1hUr4lmM4muWi7zcB7In1imDKsv3gAwpLipxALPe5XQuh5r5
30llVImGXIes6JzUbvOj7vYMUeheg2cZdhlRSe4pNty8hHl/bcAkUZ1RU0xSbcxlIhyVjhZ1m+sS
svRq4oYl3sAHI9fNLTFg/YQm3R9UJa3bKvGnS7xM2SOVVepBmfb4faz+Pw/qGx5UrtsV/fCfPaj3
K8zm/2148pZZzRD5Hyvq33/0X3kR/y+HH+UxdIf7BFvln7iI9deqSiHUrP6Qb//k77SI5fyFQIYJ
AO7ed//qP2kR8y8dJyXMG9AluA8ZQP+L6X3zfYr7HVz+exec882A8sO0l40QzhSMUKs70wJN9UqZ
koTJa0KFzQGIvKG2QcrUi6qaDKJc3VE9Ups0U/Ii9G8D3sVkyLM6u8Y/3kSMdRnSYvQx3uVxZj19
y8U3LMjvR+HGHwKbTHu7WExzSGQ5h7anWydEMXAuMg0KmlfUDcHkqXCraNAmOilSC8zApV9q6TXx
Do1maRx1J8kmqdt21NZQxzLPyiB76KY4Cca8fhEV4fuQigt7V2jCPn+bnBRpbG+0Bp1pC7af6H9M
BxcrcafOIwqXzfQ4ToK6XBLjVyatju1mMEnQSWaKZDFY67OS1QksEq1+r1d8qQjm3fCVTwFA0Nt1
YLA7qoUV+pQrpfzgct5+I2cyJMMrWbhDU2zpvXEo1PV5jViLXr1knPADqEY4QbWjEuiCWfxlcR02
wAWdUU/tonn8XL7Zk9064qlW7BWDQgeoC9H4rGRcv2uF35wH0Y/zxdTRmck8EyYyZAeyA8RPqNXc
6AZb6HBJW/92KvheHRwUIsdGHFehbmW0n5FtRYghU/rBSHzGi7hIGmJ5vW5EMflRHMfl+qbzKxHy
EjtObdWu48rgxhFpll7mVBAcBMdvR1I9uGSe3+2XNFWXa2Sdee5KhMwc6ugMo/NvNV6/13mRQiSe
fQbEBiJgFTOxiJvCPtI0Rg6zzOzjJFlXFDjCtPuF9MLW9XLjZAuSG10JXTPKGMaJw4IViN+ZuZtV
Z90ntVTd+1425hNpJ6LUbKcd97toZmgVY80hHchbqjm4nVqiAKzlg3uTcOgt7mCyxcHU89Zn2/SB
YJQQsBI1x4yGVFMf/aWgYU0YwWVL+02yk7OenOwpr7ND7HXDcpRyNud9Fkvt0iS4qDbK9ABz6JNf
s9wgQjQcaShyVJioVrLbDpziMrWm4Kb1mRuGRu+6DzVZqauUl4XilVpSrBX6NEIsDg2OsFP3yTTr
QGe1PFctGUIOBMRNJ2v890AEx1BjXNFBwXWtmPOjqZHlnCU7tfUx9e6o9llMeaCMUxtOpGmlfoRk
MmdPzNKD4eTwL/b1XD7PXpxo9zOyxsYs4ivqNcaLbBzEU9pV13FgJZelpPjkc85yeTRD06oaxgVJ
pXt15Jml/oDNkpaLhdW+TpJyiwhR7HSXvxzADB27JVGP2UC1jxakzRVrwG4r2uEulwbz7bI13dDL
TWZz1GmoR9JFiXvg9tbe1YkV75u+X1hcO1bVbnBMtvQDAvh1iynZaQMo7y9OzXc4zHo20QgsmbnO
w0TrBejjYyNp+ZjR/TGiXg65iI+oz2IT+IxNVZbLLfyncmsPrImYpO6VZmtfnIUnTRn3my5e9pNv
5Ps5M2FEtoN3TR3z/bAI+sUTBdchdx6NHsGFoQRzoVk2Z/Ced1iQCGz1wAG0tYIrsamaG0twsH7r
JjsWTBsSUPWFTr/R13z2rvXFjN93faEOE3jU+xq04TknbL6Z1zovuxTjjUE93a5jtIptJp33trtc
Z50/70uwj5s0FeVuNgqCtXSxYZRlGJL1fdNGhb+8b2LP2bCSOi9tf4WJjmWSifWhsBqK+eKa/m1X
Iy3dx+rsitLH9MpemqftvmZaus3IoFNKN5Aowy+y7kNByzRNRs/JqDEaQBeZGWVDMUw+NJlJ95KR
EtT25joyA4kAMzT9E7226qBXyfCQy37gwlDaHgTpi+zdcj+n+bwdekX6HprRB6twWI+yHbGPbs7W
EV60qR+l26jiYLHzu6gBmO6g47IuaxNmXC04y5MfM3WeNM27le2qEbJUJRhOfnhw7Iqrwl2861l0
lFuPBfDirY/z7C6gJ/wx6OAZW2iaW9HI9HoJ/P/P3pkst42l2/pVbtw5MoCNDWxgcCcg2EkUJaqx
JU8QkmWj73s8/fkgu06lXfdkRp1xRUVkZWakRZEEsP9mrW/Vb0WZlkAOSHt9rlSW7wyoDB6NhrPL
287dl8sAFGAM9M9uE2pb5trFpgSucS4cUV6TEwpYESryhXaruGntSbtlDP9JhXVOuKdb97uwXewz
diGDHSLzbuOKnMXwxLbLcRmEkveUdTHjwlSYqLdrO158OZK/ZMGRZfZlmGeTCGIMl9HEHh2cBEud
wNmrishXrQnJQGJ459VQAz51FZN0rjhsy3GPv103m3t09OVlWjodghz7S6fjk+4zLgM57nTYJ5vJ
iFZ7YrNiUiW5SoFKvpmtzL/1eQMoITLzZYMDdIQ/AePqqlCc2Jtkri0fRIDxVEb9cB+5qfNOWFG4
rTBtnupAfNHc/jvzsvAZZ82E/qEgrlBaT4VkB8w9lRJ3lCJbNnjOLXMdPIWNRG6ZfAkIOXfoH/ZL
yfZsCRZ0O/H8jKbDJS6zFL5SzWud0+dTMB/TaEoxz4nqW8i6k2g0jcmYYyY0tn1RUlpjSl/swABS
wT4lbcf0Uhj2melcccoXuAh5J3Bri5AN02YEA1RtWyNfzuEMz6HK2/eecCumbZRS1BfxYhK/ZA7Z
QRkJq3GCEmvSUHm4phYp8ZFZO5tOIhmdOOW2URHEryJNHzVhlz5sav1LJJhUlrGjvoHHvu8H43uQ
156DfHDjauoFho3u1xao5CnVSVKfg+VU6b3EtVq/lCGxcLjVrsYiDXh2VhWL0Jo00nAwD8k050dz
qI7WTHuY2MZTTFzRKeOa94rYNnYE6Ll7kXQRlodk3wzkrZfd9CDRz5ABykY5g84OzX5576g/Nwwv
y4fAwZQYtwufdZCbMxOEYthaBAUQmdXmu6nHqsE09GsQimcDn+aLXlvmrenCnEAScKmNjuvK+pqL
3DjGS0+QbBRX11UxfOBfv6l83FAXvLfEK9Bb8yttjKIdD06FW5cFrtwySU6Y+tvR/kP3Cm849CP8
9zud6vFWFCq4I478quFLL7NmH0c66eKt3Fiq4hI1nJAkDnatjQG/0KySJ+xC9n0wRf2eHtvCDCyI
HSMHk31Zq3lqsHl3DDgkR/pJq1vbb+3lU8fiZC02a6O4hfIUbuToEp9bfrfi8FCLHEI+A8JgbG+X
DHtk1LWbpiXyGkIIi9fCW9rpcWz7u8robjutuKFaIzTVZp+ZdaBy5rmHeMyoZjMn3OZkfZKUa5kx
oeyTktapSNgx2Tlb3chuPDEri6i7NF/uBPqKH+yz/zR+f9P4CUlj9VeN323zLSyLPzd8P//Iz4bP
MOw/iH9xUc5A4rFR4f13x2esNkLgdY6D1JOnxJ8jjmwAAcLlz6HMQqK89okcOx+8VOMP0J9SocBG
HSshj/47LR8usV8FPigvaTsVFTPzdaCMv4sR07bH+dG78V2SuiZyPdyQE2PdkDG/G1RSXiRQtXZf
ZjolQhDgNEDKRj7zJmWAMk7nGv06TVdK3gxAewyy9xGlczZ9tpxBS/WNnbL4gCiSHsKl0Me7Lqv1
91yvRrCAqi3QsTcGul9PgCagLC8jkTrDvnQlCpioTq6YIxrfTdaCkFTa2nnTViTxZDvhlUplDYkj
XNgCqOzewoy/D5dy8U03Yy6fxuWwgU9FRVYTwcI5nlUNgzNTMgXVtTdnsoFSU8gyiHPV2Y6GmGfR
kpymVMZHNVj9lzHpxVZCFLC9prCj+0Y5aeS35TTfDXhEXJ9dJvoQs+IdeyycOhK466zyCUqIrmvQ
ABwe4aYLR/stHofuqWUtlpwt5nt+G1fqFq02/PI5niiVMnu2Nh2rXFo4d3IHr9W7eH5QVkdQBN/E
/BzMZeFpBG+jfpiC8EFJE8NhW85YC2FfDcfYDqLrZZymZ5jchoVka9KPYWEOW9eGUEI7mOTGTuGn
CT0Vm9VnhtaoMsOauTwz6vxKawuANZrlIOPPg8W5ddJRMf1DU1V7yRILIiWmqF38xGrbxochNL90
/Vzbd7wTsrNJ1s0nWkYa8ljvzS0AL3BwWhJ9V01GgEEYp4c2lv1uDEmHt+q492GJqUu9yIlxcpSG
vpi78sIUACBESTq6ntfGhWT4cUtOL5B+qWaYQo1lv4+Va/gTN80ZlTkR69Fc5owGwxkB8K4utOoE
fSCZb/Si11V1JUircaoNtLsW1zcfhGTMPURFdSc5Y8ojYiNDrk3xHOLqhpxIp5G3hA0EwDRjLyow
LJJZb2Dk9fOFT+8C82gN/TMG9QDxH7+50ia3+kQWgqo9C3gZRwzSL6+BAEP2wTStiYGCPNirpAwa
8hPoQt/Res6gHDKF3yxz5lw7DRwe7YYDlmB19JmnoegiLI/F+AoWDDkWlUq/nYkYmI9TOEMTAK1A
gDMJEHp0QFElygOb3MzwOihoxmZcQq076E2udkUYx3fxRMbWJqqHFZjRBDl3duAoFObVHJPWiJpx
3FRBNQwn0l97suI1eukSm7vpV0M+GBu90BqkVBpaKoYXesyZlve5upmWfDxnraXvm1T1fhSaIZZ4
Q2rrfoLkq0xT8Vkr8QXsBuh4nGf4MBs/z5j2C3oNtqtTTVutt/e4kZPl4vbaVw1vA/cUG4Jp44Cn
s84dCX5ISGp28kjC5vJ5CpBweM7cR4/LQt29l0HVFGTCr3EVrkbY44En0fyAzIOBORY7QGNxlgkg
jnokxqNKmPaYZdV8p+l7snpiDjhi2+VhSMVQHUaUhSWlL4o7p9IMKLmtfrMEibiQJsn9SAhjkm+T
kKcZUkecdnOd7JfJdK4SzZmpwQB1TqfJGIFymgTX+rxSunecoF3NXwHLc76rEoLSkvhikeZFq2Z9
2Jl9lPkot8V1aRcuDmkoglstrvII9uGEKmIhY1c38VCjFGJ/9tagRXtNqH6ezCYbXlp9Ijm4AWPB
vSanwYfJb25zwyYuswnXja/ZJ+3WjlC4X/MfSBKmNSKePdA01Rx6tkNXwcyFGQipYYTkVbqXQCoE
fEVDvhHwIULPspsQntRQESBfN2a5BQw3hp1XWnkvb8qi6h3PKYLs0ZhD8xMypc+SSxjhWzut7MhC
Fwfsouqydgt+2AWz3wm2vuDjyAwv2A9umcEE4YY17HRfBK08Z7mAyZA3KjduxqYsbxgy2MneqUvz
ue6mZxaRg+uBd0LjZcRB5pAVpHcEdgzJ1N/k5Nael9lo74k3YA1Zcn6FF8xIQUNlLLN5mWnYVAcI
cSO1IAyuiLoenTPrXGP3UST8p576m3oK/PNqZ/mfB+nHjAE6isg/V1Q//9A/aA4KYDzOCTxxVFVQ
lP5ZUbnGH8yvbWc1p7k/QQ//RC4xW3cR8RgQtam2kHL/rKhM+4/V/oko3bUxSUC3/3cqKnzUv1ZU
WMiBRbgQAajS0P+7q2j8T47d2I5lkhltdDXVhoq9sSrJYErYxeMu0wDwToZkbpm4D1VaI/lZxfaM
agfHwnrSgjU8NEaOy8wpM/tqWZQEHziUywgXTZ8uPZspuTcSzsFL6ibN55qFrLVBBhImG0LKOCEG
0Q6nbIRD42UBIlkOMvgqiAt7+wQ/XhFITlDwcTGWTkKDAwK1ZMpstsOKD9jAS0G12XIEeNLR6jeX
ydTXj9ajI4F5Gy46OXZRBT9ywxBXWD5Z7VKcXNFRGbm5fTNKdpj50N+3SPR2qsVV5MHZ0k2fUjt+
qJJkvoCz7M5NKHLuRBQCTN9KDWWFwxjbg1gUEhCdVPeZBeCOH18zHy/nA2WUeyVghl5TMO4h1jXo
q8q43FkFk17RRqyZu1GklAUWYgHZKfE5czFUxDwSHwyBINyN5JcQZc+tVTI0QDJq3vUiaY5M/6Uf
GeIuAq/vI4ZUW22GNjjxSLwzlZadzWK8t/Sx3VhZhuytmlT0FaFLtZfwHTYNK85rIwfCF9tTfT80
puJjj+Lwhu2zPI8RnGiv65f+pI/bWpTlmUMq/54Mtrsb8EnvWotCOGxUew847KsVBKVvBEzwbS2q
2f/zF7b9n12pGR4Pv2JTZdbVMFJXKKSYD0nTmvfMk6drs1LjHTJQdH5p9JbAUXi1Snv0l3C6znRr
9i1kCJ6NcNVrWAZchnLKH7ImzTdFmrVnJi8R+w+ejYGbXpos6UiZSvtNzB37lE5MMiWwnfOMGNev
0NlvDYvfVENT4+tDED4ujmJoR/QBa/mkKF1+bJI0W72qODkj8EWz3r9n/Pe3YS+zixoKducUs+69
Qm58cdhYErIYJAEjvWU5yzWtJqkGbc/qo9zDvyzudcEVrey+O1HSSYaOwmOZJHcGl/1NySz/ZWgU
9hWt6zjAIAH5yEuz2luTavwavuu+TwImxnV/bUNXuSJG8mYYWuK+FrtAzwjXauMkk3Ywi2ygp+Ea
RD+NArUPtG5jL90nTct2FMH3mGf0XaCu5cAOnZni8zz2yV1kQgLsUMuAOqYUlvdGrWdbIgy+tpVS
R06eT/NqgsxE+yWnLN6xN+7mTR6La0uOrKHXb2p+10LmxOCsyA7r9c+yd4FxzW5wqMZBuxlJENgG
fRWu5KcXHobtLRkU005rmxJ+TGgdZ06uTxKlHhJ06k62LGz/mUbbiXalgAisU8wX1F41QZeALTOU
t+hDrpYuPnU58eJsNRjlxGdOXShstgvUTObwBKh1xrGKd2TvTIS6J+09CPzsQlBUeMQSiSZ6SVmZ
QYC/5FO27GFUY0yoqma/pJN9I5sBpYw5HpsZYpU/Gu14GWX3qTdmjRqC+m6URlRwg5WcvPpDkWhw
a/3aaERyNwejmZ/Y1Z/zxnkra1KhbHtxHxNzrnYwSdK1bg/uZtOJb62ofS0YFB2tmjHaEhuvdjVY
wEQavfvSNrxl1L0VA9JMXIdZAadcWFzSOvCoIZcZUukou5t57HrRxPMuKyk2NqqYvyy0ygi/eD4P
PddgPE/zF6II0XblsV4/IHZ8KHQbHatT5Ld0JOArBjeDqBoSd3M0qzHC1gmrD/aVNehoUZLyWKUD
6sq46CA4VIV73yXqO+yscRMKtBIj/TRaQMeIa8xSneOR3JjDTpcxpj6Ko95KUJiuhHWmdcvOEV2+
m6MPVCSo5RUcGf3ASM60Elc56aKErGHQ/5pqCOK8SCZYdKZoFDY7N+IVPbKBnEPaO8lymmRjXyYO
7AezCbhF0pFL79h0g/XcGnFzFS353HrwL6y3jqsfjCdu/AjOXaCkN9qVuq8xfQg/MMBQlyCIruo5
0HadmxThIai744w36DbK+uwBfa6pSJ3FpRKlAReuu4zRCzaudjsImR8Ae0WvzFJ0mK9Og0WYQaw8
hWZDd6ZkheZ9YS16HCqH+8MchsHD0KFdKh7t34tUUp/jQx1vuqElOmoStY4odWZuvhhFFXpIRiF7
4bDtP+sIt17rRo9fOJNpBpFW3LTmkt8SGul+15kRYl7IAvNeQ5vyWUuz5cz+66gMO/uW56bNGsq1
Yi9m5tuzrRoysrYYKFgwuHOetpuW+mH2ib5zcs+F0EpMGLjgT/0wWyxQ2+xdS/QkuMp7gZ3LruLx
EtTS/sQ54m6raVnXj7MgOVOpCupcakThsQGT+jWNY1fyMArZZaTFsPppqdEJgtTu4sRmxc22rnnB
6pCezawKWUUFnVQwgPPl6PZ1+i67Or2vRkRObTaKTbwUwTElvcw32KGjmC67+napTfQ17dg6jMZx
vkDsF65+A71ufLHGefwWOFH9hSSFYVdoiUtfGrowhKd61q4Ytg53uKNQ2ZjEXH2V+gz9Bl0d3SfK
2UNPK9wclDZWX9xwKohaWYL+yHDUHP0kTmCtuipPPtdOLGn4SpO9oSQnBYmhWZ/trsqO3HMocdhj
VjNNCzMLfnOaJ9XoL4HbBRKir55OpPRo1r7PZHwfuJW+R/KkNkXfFyBSHMmWz4wSh/Z0oGtPhTpB
06uvDLbHvl1Juvqhb/1McMGprGL25DRyW+ssa5Cyd1ssWK70MDsCH247v7Us1uLa0CM5CDD7Tiqp
jq2STUF0bgGBt0k65cVh3xobLLrlczqLqth2KLpqZOP18g2/mXkT6GPlM9t7k2HkPqmoyF9LJgk7
M8oAvvOIZ6E/D2mpbTCI8US02BYfY2aLN+4i1Rcg0NmhimjsNiK0yHmezdl8U2MTXXdg+T+57D1j
zwHKKL26GVpg5owRUBPxt+nSp84BJeR876QBya6TiIzXwR3QehZW9SUk2/RiuZ1bbJJJ6C9Qmctg
Sz/ccy3pbU8HqIx3txZ1sg1yO9SunDIJnnHoFE/z0tkt6/touu7bft7DytcQvjawtwEwA9kL0zt9
6ePnulAsXga/jPIBxaS2HR1wLcXcuRfZkZvbKxn6oZur2LfcStyiGGQgZ4Rqz9YMjqDVDPIN9gwL
ZllW4adCzoptbT4i0Tc0UOkbo40hm2dheIZZvmxHrJ1HkWTDfpFW5y+Vme16Xe9PhhZt7b7Jv0WJ
6HFC9rbCWgiShx0Z4ZrIPZqn0FLBmy3LAFWEjuWIb3NpN1Uj+5tITOkxpMzC7BNYeuXFTYjbJ0xl
8l4x2iu8Zv1LpUUZjxZzvCmxR37OSLx7jC092uuxpdEfBP2pqSYXdCnApWsmrO4m1KkRab+v6Ny1
dkeaYH9wYrfGRSnC9LmFEtN4UTAOCPNja91hsW7fstperlPNqK5GhHIn3mF2EkwPvwZL3O3ymOlJ
XtXDLgTaeKyz0PSJm/hczXBON4YwGmK3a3Vn1rX2zQBY/SPX5j9d8t90yaZJufFXXfIjcOJvbfvt
25/b5J9/6h9tsvGHjSCb3ll+UA3/EdKm/2ECk8FpALTY/AEs/ofOzP7Ddhi6OVLoaNSQp/2zRZZ/
gHtZ1xHg++C+YO7/N3RmUv3mKoY4SAkIWxGSBgsMOIq/tsiKGlCLRqs4cobCM99TicLQ3XLsj0hY
c9QdHm28GE+dmKmN8ZT4RjuZe8Uu91DnEjeOFbT5lhkA3H6Ox0fWoukWzEzhh6EN/mNsGHeF9vSc
Q26twdda5qsbFsZRVHq26V0I4XUUyi3w7fe+qLojuvZwb7GW9okOruGR0wktCxC6eSDbhc22JOHZ
nRC/o4WBi+7QbSbMH2VVO69F0+ZHqrFlh9Fr17ekeuvdoG+GJA5vDfw6h2KOs0cRmQPVYyshyvI0
L5+xDNR7MWjLFTz2VSIibPuNeWwVeXixKKdzhnU3ZTN3T2nSOacpWfT7fmyEX2TqMvSGe6MnZu07
eRh+IRQTWT2788OiINSnMRteCBvNvlFBcRhjCFONOV/KqlTHhvzjna2B9F/YNd8WK668SH2rnNI7
DREFp5VIPWMenW3GQeP1aW09NLT+UIikvmGeIJklTO2xbxftEIBLupJppF1lLQaaVNSMmJk4kr2j
lze1HUFxrjH0JN449o8GUcJbgZvgFAa5tZeVke9EbVr81HahYKOPU7HGIrsXj1CXpq8zGr9tOyZs
RlTaXhZILOSI2tnOBkHma9U038s4UW89S9OKGl3P43ZvVOz6MVKIvSnc4NPgMChIksB+Z7afzjco
tpIbdM/oCp2Kscc0dfkWZ+/gxwgZD2gCml1to1SaASPiGLQEJT35Mw1t3ZvTFOP3ECnZbtGLCZgd
zswt9w3Lsnlss9OcVE9RbyRPTPHnV80GMOoVi6XfaGU6XGPagDrBCizyYhf8ZRUi2KMlR8iN0Owq
0O3iFuNieZONxlM0aRCzNVPWB8zh6WUqa05Qdjq3Im8Ipq0ZOHhVJmnZY3Ru6tBrfTzv8KUjz3SB
2UHd76fxipHoLikE09FlaswdSmRnI1jNr3onkR9myn3yVNBze0g89WKDZZU4Mzy2gmhZgmbQPsTe
JJb8Dl/WwYUM7EV9Ud80tnjFRKOCU21mU3RdGdlnO27UfV5a+0BzDO3Yxr0MxD7rkJkouqGxcL+S
nV7H2zCYl9sFleNd2wsnB4VGEPRJFj36565/sqrJvGs46VFjZKl6BLyVbImsMLa0bO7VWCqxltBt
NhPzblf3Fbr5hDBdfOyHShKq8iTwfVPw4bRji+Iz1imJcMey3mps/hKh3/Kg5HPPh2rZBXaCYHNb
hoH+skT12G30SgvP9axy9Zk8O1E325b8nQvErT54x4/CMCheXI8nnBex6JBbHWkEV66Veo6bA8Vy
G2lgAh/WFFudpudNkZahHZxi0InGKTMyqEqn7zEB9A0T8VV/IG/GMHfJb6+s1xRkB1eKPhvhkfpT
H7yiHqe7olPyHYljl+6RKrKjUHON/m7QYgz5HeJOkiuslJdcyAtn/zbhB4TAwLAobVe2ArVkvOfZ
xyv+CCoSbsteIQ/jBE8T86TylsRvUdqbua8js7tOs9HS/bIcNC9Ukwq3uAft22mwpx0jC/5Rz8AT
NRafMWrFYH7MRkdcNzbjCJTvTa1vltwd9wmY1huqY3xdMawFOA2Bb6WZ7DaiN9W+N0S0x47v7Muo
Se8KkZ2WkAmw1xhWeZoiK7oOqkrtyrGTEWpgR627h7iq/b7oWYMktrhyVIMNn0KeezXh+RXa8bYJ
AbDudBXrDxTsQMsFHG/GnJbm2VpRnMkaL++dQdln8PfDi4WTmN7GdK8ZJJheVjeGn04y3HcN4iRv
WfpM9/J2mb/Wc/3GGdWckXTbu1Gty5wBka8n9Fp/AJoR7CY9cZ4sGbYXyUKBw6HIjlmo2lv8wQRN
I/i/GgiZ/kphajHfIMlE2eGRR2dwwH2jP6fKiP02d52XwahxXXRMHA+JVU/X+NOWG8AzWFLrieZs
nBM0RCYSsroczjKcdihKgEt0OhD4DpxqRRq1Kbf0f8sdiyWA+qm7b7M1LUaVNOL20O+Nplj21pBb
bHsN5LZLy/ZuzHBPKoS+id9MwrmOTR7xLmICn7kb7TGv/zCBO/XEiuwIQVTe0WiMsOOjdIvVHwQ5
b2A1Dg7k44wy4tG4yGfTrEl/oqWuXgdmFjeGWoxvqDYZ5zJP2KaMPw92W5ufVwfZVrhl6FdGG+4w
YFXbhlnJOdXH+hPDvPoGMWFzZ+HDOlHlFhtES8kJ/VdMaxcN57TEKGWJzD5ky/CFFi8+4eOLPjMQ
189BYMC5TFqbSiBfgPM7pb4pc1M/txM7xk3MnX9nYdbawzttXsF7kISAf5jhQndpWizTnswd+5gj
9mJvHS3XRpKWb2Mb0r9NOWlFc6kfIz38HCAhQMaE9i9DKUd84Gxu0ds3jqcb2vNUBPpWYj8i1CTW
r02tjTH/NSEp5ppZ+UzFZOKRmvOkiZ4MNpbPaJSlmrauhmK7HSabiAboTxuEi2suVygIciGdijZV
T22DlDvue2cx6ar7Zuh8/FLWq5hQEE0SbZeHdw7uV9MAn+auQrGrGPkkDonmXpgzenls7bmKL//Z
ghVd3M1/V99brKH+qr7//Ip8Hqnhr8oi9DnrH/uTssgFuAXdwHFNTLzsmX4W+auy6IfY6EM59I8V
mAvQXEi5spFA3GLZ+u/6XlrYUiwCR0x2V1Lidvl36ntalT8xgyRwQvoI14C/RDch6EB+re6R4NRE
L/T2JR8yJKIFemx2CS3ye3TN7Zc/fTA/TSz/p+jzu5IBaPv//u/6w/5pWfl4MdRV6KRYt9m83d9Q
W6E1rSEhnSQxB8d2IUvxOK+JYT8ivmxmQS8hPPJXdwAb+L94aUwyOqtDtULPfn2fsZYahG0a8vJh
SSyQIrtb/L/clKq3OXOdieMbDcxqPwxWI9xfv/yvyq31nSuBMQzXCON+mrrfXl6YcVi4xC9cspxs
4I2jDUgbdLZM1RWufl5uyrm9//o1fyM8/3xRLhVJ7fFBWPv1PROwFPRh5YqLJQrxWHBEHkVuL7iB
afk+VZ3lnGS8euV6o0c2FnV9926vQbOZZvM51Paq1CYwZTq0SJSD7bIs8tV2BCOfgIG4cT1UAQ7E
eMWHeC2twZqyXJjmDyPb/4ji/hXc9eNt2PTFFkYrqu/fyarOCPSEFZ5gSqdxrTAMPE5ZTxqj06Ku
+LDjTunf8tZ+pdL9fFWX24P4WF74d3KXrekqmazGuCTGYDwW2DFBCBXRdz2Z6gu6nOneohs6w/SF
XDNH/d8lev/rjalMGNSOoiTluvn9Xhlcd+WPT8YFthHxsesNM7tAGsKh/ruccoOHyW/3Ja8FfI1d
Oy/4L1j8YFZdwTjJuMg1+ViroiLdDbHBIROYJIkispOvg26vd+fqKmVvyc3yEeOJQ+jfDYXmVmE6
InlarknXyvztISGkVrq1HuiXvqu5SSSpgeWJRQkldVyk7v/iJlkHL9yX/A9t5W8oRKNKICKYg6BA
4Kwu2CUR0RpOiJuVXl7nDQQOc02KruuYq9zNFuOcs0Rchb54d8D4L+W1Zg/TfYhbFhKWLjCtpIO7
NTqbrN9ogF5VzAl3meUUNHcu+qxs99d3+gf879cHq1LYjZnRcFQAf/vNC5gQQN47s2tcAoYI9Y74
tebwcd3QKVcvTQNrAO0Wj9yZDzB3RoADRPkhYCYo7lDNOe1FjEIz2y/jgvPZCEC0OI0+3f/17/n/
eQrC8WXKpaMrkKgufn0gaROKIDuQxgV/Gh/Ix8dsVE31YuiB8Vhnzd9d2esk7pcr29Yx6DucuYzI
mET9/op5F4pET+f2Mq5xvlZHTiuKzfUvJpKzHtTUXWPaRBWTnRuw/B4S1r0j04KHuF/bMpO59btZ
DtMduTdrsDs3QQwa5yTXa+LjI0JkRudGPe2eCJDES2KYKzUKb5xQvKHVYfQ34da8g9/fFu+E79nk
ymX/+C9JYYuTuqpG/nhBozdv3GpeGj9RWnJLYz93B+JQMbYlgG87X1jIDWl28iDauag6ASPws3Ui
Xit3IxJyREjyU7vhQ3sYQa8xNoURQoOnNw4WdGsEVBKMN2pP2OtDEKjAyBo6iVXOiPaH3FXUpNwZ
yap15AhYZY9JhvzeqYpLvwoinTZPTiJ3yvOQ4MHznbIhwgvInPZszCq9Nco5+6ozW/Qzoj7BBM0L
qIF5GqL3Ge2HfdXNUeHHHef3le5auenVZlLdwcWhTZ4+dJtylXBaCiqRNyilVZ/6IktIAAiUenCZ
q+uQIVBJe40YajRpVogsEkX3DIamE84bMdWNsykwCqUHbNyd8Oq+B84g8N1px8Ax5EmE0IHQRgdX
OqNXbHcD9GLFBq+5aCO+YraSxALTbwhmkXkUVtWdCkkc3tBuRYHvJOQshzgtP1Up14jCLoBwD2EL
oUYRbTmlgbtVRscgiGGM9dpCpIs3hcPThhKQB/FQcQq04BkQ6KgWJUZgEhXptEFG40iwkzo50Od6
TmYjIuhgs/yQ0pofulpQPfUJxStq2/CH9LaKJ+cowzg6D6nbfSVS2C7pB0mM1eOk8V0zDzE7yWbX
sEJnfV+9jLq+PButE1+JARw41FDxhv63ZK6Cr165ItgJsG5faK6sZ7p4CxNUFb1zoUzfwj5IcAFF
YeHrPV/PJgK/uaeBsvzcUMOGCyvXkR4FxTQ5sOS0mZ1h9y5r3d5MaGyrR3TOcXo9wMrDOFYUmZs/
KhbxussFkM2l8nO1AkG8Dv2jYwPIsNxA8P+GGOEPbFCJAyAAbKHBa/KRCLrVsxYNtsmvmyYFudBw
y5ydpq/Fz0IqV5mmfNIFdudrFE4UQzzBCS5HAYlSOlttnXkYZE+T1vKNfcTl5vMMu2FQ4LE8t+RZ
Ec9clcgcyBGBzljzMxiQVC8u4z4YkcaKbo4TtoC63jhQtUAg0Am2fPXpwCM7luGlV87SbRZyNV4D
a8SRGuvUq10GWIN1mPU6gRP/NLJ6fm+X1Xq36mE1yXNIydzd5k2Emwk+LdG67Lr58bi9+OXoOMpr
yrrgU49p0U/nvLxOC8hwLEbX/6jM3FPXMaGiU1VBwPTGhaZvGCtXK8SjR0x2TOEjdJ1/sShcdzug
XPK1EZzUXkfUces12LnPjBx5xLhoAE9hDePChdFz/1PUq/FE/XhGUsM5p8DiEFUJgfAkc7fvtbt+
lOtA7rFte/7247fN+56BmFnL6a6k7ESzZcXzXf1Ri6QZyNPbIsdoG4aDcUbeb5wHAEvXs/gwKYLY
ESKZ7/uYdsNcAX2MjjieuwlK1bxWj7PgszfymTfFLckrpRGMsLjkYkjWvxuauWq9MKH61FMS252M
U5S8SJLUM07b2g3rFzKJqX6nuJ3vPwqFJSXi+mpKMvtH+560GV9tzS/DcCYBg4mWZxNTDh2ZFOtn
RnXaxi4D5hkNqJwTlxHf3QdOsChrDp62bA5rHvO9nugU4SU+7u1H2jGrdU5zMuS1ZhsAEH+122WF
YpRElx7rtuE3H/gz8K7KcZ5OtdZArPgocGCmuuA7E9grH82PuZY+c4JQ2s8sgj8Q1wKd8xSBdYw7
rdkhh9GSr5FCp7fn2OEXrASrDs/RCiJVUe0Gb3AAePHi4xYyAiuZdsPUrGUQJw+69fHiyLF9z1xy
nOkgHIo7/tENDQ5gjIU828q1VcF7Hu+N2aAwAIBwtPmmz3j31ZG3U16bQGbu4xl9hcf+ld926GPQ
GiMnbrdenh9J8nqYcDKlhPk022RQE7CnZO5vqjHUokMeBfSAho3oGfkf9IAtihV+mQA/AGvglM+s
MwhBngYCBZLUAYXd1Xq8rii4RrIos17Z4fKZYrTn/X88BNLMJNEvxreAtCvGNzBb5rF2ucMqe335
fCR9Hqs45VhnVC+JUZbXcGeaA+V+fYAzxreKIRcFPgc5n8NICeqC8/xEuuB0N82h/dr8F3vntRy5
kW7dV/kf4McEvLktlCdZZNO1uUGwHTyQSJhM4OnPQrU0aklnpKP7uRhFTEgkywCJz+y9djhwv5pr
KLtNAjkIKI87XsqeV3K9EjG7W/2NyjkCPLSn4EdlxeHjkjDUP0Q6QUcfsptPiDN3OZpsttbHWjJZ
g86pEWTTjva4LQeKIsBs1EA2U+6n2Sw84HeF9WwbIT1AVNCGuDitn5Uj+ZAde2UscM5HIJHySHz0
U0H13lkKvNL6DnkSUSP3PieQbIkUuza8izLEx8Vy8BGntKg5R7e5UbS0z8BtrGfSyflahrVKW3AM
VT8qxutjc15MrihRGRgCwoz3vngium3sEHAlYe9bCdDu8fqpSTHpiPxEq1rwEPJyMp93UebgvMQ4
cL82WYruowRfZi4zqOHAWRz2ghXedo/R3dcuL7m5bDfkdMx66TlIauFIcoEn+jHLE98BChl0xzn3
qnrnRWPlPWqpVmgjG40lNqTpvbmYSbGmEDv22qxD/qoa3VOJO7zdsXNV1bmefH66GjO7e7JMW3GJ
JCUf9LJmseN6X88+bRfGoU0tDnlKkXRtyV2IejHDz/bm+gH8OIvWxn0C1vjxerDKNOCJc712k3RV
8+sB7Y4O8vkzrIHk3fX6dO0xOeDtHw/YUd3yLhhDLpHQHOXR9crpnKUz088fF0SNXvm7CJBUxbWc
5BEcV4QKjy1I6jNLuV4Vvi65KUr80hcflMTB6hrrUnjrtKHsIRPHftNYJMN7DScRQkSS4HF+9QdJ
dOWyydc3ZKiaqy+X8H6kC+YAQHtCc0LvaV0A9ckjl5z17GXYzLdWBUwyRiPJEwY9urNvBRfNiGD6
1XFy6554Glwq2cJFbZJjSwSS4tC+noBuOaCbwnHPhw2RaX18s49g6Rsobpv1AYQGJ3WgGZMuyqHQ
pnJK9p0RQhVsxvXVFuPAbeYQU+5gDpn1I5EMksh6WrXXSM8Ufl7K+4bZjHcO0s9gbAtXEr8rqYUw
r1hhro/DODXZPek1rJua1fwgTSLdaRoH/kKat1ztJsHb8nnwRoqQ1Cij1+t2qGHzxvsNIlh2ox08
jaGu7xn5f8mMxIjRnfdHDx/fJoB6dqPKtPieOmyJA5uVs+PTUsdTi+LZ0TweGdjzRFp5vfHAyDOi
Qpn917KY+ZxzwRfaemrRB2MsIOg2JIuw0cBInE26PjHrL+4ct7csJMhefaKz18fGYskbE5Xa3CUt
kd2RrqgXfJuocKAXXGEQyXHigbgdzHO3Hv5nFL8MIiMyxy9YU9Bh2RWbGKO1mcIwZRsBiyTKeEoL
m69H1oJ/dpHFh+R48DeZAKpN6GDnZyTOudRN1Dj1WtJ1WQigEOQdOYOdEQPc4J5ZG+Wy4pRVTsSt
GmUd1G9T8vKSJWDYZLfUB26ieKX6+jBJ2M58XIB5lN9aakyeLpGIdsX6DLdYBb0mYcIVdG0MUzNt
xBl0FJpFOXCmtb6GbM88DeVc1ka3eZS6p9Ubd0m1F71aIKy+4nUPQVrBWKEH43ttfJvnJ5wfrtY6
5bRafOBpE385vp6bBEasmDUemLu5Ay5lV2u9KRLAlChv83qLOYAzWrvi45Uj2SKte5Mdt9BQsVrM
EwP+QOvtwbTyupel5QlEb5cdbS/Lv7mTb/Y3nhi544Z1Fe6VoGOgia8VRseMZCW91WUTuqcgWFBW
0rDp4djT3+CxHOWhHfpxDwTLDulVBu/NLBfrmTSn9oZ3zKnEnIePJMAxxawpsekkap8Hiz/NPjBl
098ugKBPAg7ZRS7pehxcS2YPLo+P4hZ2MkuaPUBrYNj+PNh7/nL2zBJav2j8AbeZO+cvYiTMrucO
4XSm21n2PBCJuwr82iSX1hXGg7y61iincbA50tFHpHfGl1E43tciGpdvaM2m722le8ptVaXEV8/2
jSUAd1urHa5ajXHIdPDIjVe/XNc1BUCSVndnz9H5JV9ddWnh5+9rMaRPQNgmHY81y/BydeFhzpgv
kSOSl4zU6S9AlPlN3tWwl1/Ne/Aa6VgrKJxWHAwmtgCkZ/7H63Tmvwquv9nw2A4tz0+DrD/Fy1++
TW9f336Wb/3yI//e7riE1rou+RX4ktZdyk/bHWZcv+50AICZzGzQc1HBMJNn5PyrrcnjX9EIsZ5Y
7wVSLv7JTsf6Y24WyxxY0wTE0n/gk/pTjAwrFj01Ujh3AflnrzMV1Wl2LEMChqpWr2uNzEqL9ozu
q7OwLnRMgZa03yk/rNDk9t0tVIzR/uChcrm0QYX4tNOspGNbdNrbjhCqX/FoTB94dMrtkM5o78UM
Uy+awonghoHBE5btZjqMarYeRx44H5spme4XGSH8WXuFEbUqoRDAdaXa57VbHgNZ0JTIEs90IObh
4Ee8xI3ICl1ifG5dGGAzD3V3JjN9n+lQpUdQZcu4pdQwPxdj1ZM6OZflV6xb3X2eshxnlFfrexw6
fboBbcF7x1c4g9UCExOc2lm6ALytUYtDP4NE2jpYSOzzGKY0lpkHHTk1GnbpELE1Sh5eYHvjsh2q
GYnQUr+zQ9G+izCvPi5FOd13lUIHHACdVhkhDXHStwQlKhkc15j1Li7cdkmPuR4YOsL1b7YGVcAg
7lAuvwwCVNECXjsx0W4fE8vLx0Od2Clqi9BrynQfyNxcTATEtYTCwpmrL06wQJ+Oh3kyTjx42xHX
c9plfgwXJmwaWGbh1d7fIzrCdUQad7lh3Im+IMTHNulL2U1ulOzqKpcRrNlU1nsRCsD4WNccn4Aj
IyuS+wTHB0bgFgdI7PWDQzRHN07k1PemMSGEoz8L2qPZQwm/sSV6+23n9tN64ZAguejCW/Zg4hRM
19pX1XQehnEU5sWa62JwJCVAj9+0xrBgg4v+kCaZbS8fYTyRqfF1UN1Q1zx3Fsiu7/574P2fVtou
tJ6/OvBehrfs5+MOTcz6A78edybLaabp+Dd86wfI8N/LbIuTkJQycnrMKyeDXd5Pp9966LFj+e3Y
Czj2TKbN66onwEvh/ZNj75pa9dsWhFdEychZzvmLPYR47nX98JOZkzFlnrVzON9FzWIsZczGY573
XHNotGrw30R2UOPRN4mb3gOgbs0zfSiivIdr6cSIol2RMEzXxpH5WW7R3oGLf6gRs6AK5PmfJ4AF
HGWO03Ksa5/C8NEI4JJ2qFSJC3VfskRHtaBUA7/gp2pC0m1WiXEf1S7MhlYWsmfqbllt+N0RwZyP
RwVnUk+nNBgxQZ+SQBvFmQ1PNz1RuJnuk9EgndsJN7PdXcphgmiFbA8H3AMHqcmfRccjTB/lh42M
BTjrPDzK2uUkVVUOsLzO2FsymY1V4yfPTW3jvR9aB6k4aZnVMhqfOazy55COhNzcOiuQLWLdZ2Bz
osxN91mbjG9sKHPu0xoxJzk8jC9RssYRsTZVEEd6gcBzLuBnAEHfQCghe0AxGOlu7B/nU7GeVVla
ckrB4lUUPaWRzk/GbI0caGZaFhDWYCcCXLfha9CC/jgELTPFc4O0ppzYhD76Far1O4HzAkEvQ3zb
rqf/iti//V9OBJwtFCP/2ekdv1X591Y2+e+qoB8/9eupwK3PZoutHnWH56F4+KkIcv/lcmKY+K+v
BRL7559PBSbymLyJvbUBc/x2ONj/8hx+IdvMEPY+iXj/5HD4w44bqzkidtvyUX+sRwQV2O8PB3Rq
rWCroy8Nrd5uUiv7t3WKoAR8pya27N58Lqiayp1plsPHoXWnl9KFnb7po6Z7/9On978IYazfaxqu
r8Y1I3LI2NmisF+5RT8fVW4zr8kk43Sx17lISn4SIOigBdegp6HFh6jc8WMwCcYGsg7XQVpxVZ0u
+JFi0KTN12gYAOfQJo80yJX1sngIeA+z7yXfeFyTCfTXr/i6B//5cOXzI3bSX/MnPWIu7T/sbt2c
7Robs+HiaC9FeA/t+IXiIXT2QzDjmp/wypPBESQhSwEfWdtcms6hZmxubeXENieD1MlowGDpA3wI
DuZQr3O7QHolVvW2yB7KMTrX0Bf77aogesVJfZWz6h1cZv8O385UH/76Xf35awC8Y7Kcoli2AD79
YfmPMT9lAomZuhkYzLUpj6iNW9pcGqJBa6G0xPmfWNWHv/6zv99Ko+yjPOdB6KC8NNd/rC/rpwcV
B37qij5tgA+y4MP4NjLZRhQeJtnrX/+l3y+Kf/yliAUsK2RqeR6xv/9LZFHMSyez9hIKk/2VIl3n
kAwohjelyHZmNzI9dMw5hJ3meKr+u4tmvSh+vmh4lzb2GBvSDpM/MBC///OAsXKWfnV+CbrSe6uL
EaE0/tzq4C01RBOMuuRA8NUfVNXhJunKNvg2sBg4KVhtt9p3pIn6t2hLltlN/eJIpj3bLJznb8Ig
HMs0ljqIvYhguaPn+Mv4N6qtP2ZD8kWhv+HYwE7Dnh3h7O9fv+mP8Aq8xLiD5Vm/5XKgj7CMckCt
68xzk55Vlpef0zASt3rpsr3fuppRMZyh71TzSxvPxFnGZMZN33LpBF8nWOjB+a+/Ytf705dMMc5F
xN6Z5pO7c3Xw/HQ5+cx5TJkNzl3hduvkZ0vkIBTUQTvRfsD6HEvdme+megaWB7MqiKXVHHpbClCk
wo5x3NePovJqjUtSpZA/CSCY+2FggtmJF4YV4TZhLkZyV0GGWo43gFS4om8uShj9fWcgAU5TC4cb
+T4rCX3K6iPsnurRLtKHdG5w61Zj0F2ID3we7Npwtv5ED2Hls83Z4I4L+YsqLG6rzAs/0ne65wzR
IopyPUWxMjOKGS66/GSEEm+/msNlayEJ3y6F/iL6bngaTSPIMP+iY0j6bjxhYWCdmVmqPCSBgekY
eXPyGZGIXDVEnfEJCBIOctHbpxL0zckirftrzoqd+96py6ecJhX3Q+eSGJ5IkrL4HA5IMaL7jn5y
xzC621uWtqZd5QVWGk+KbCwonxmtVO8wBBLRPdul1GRt2g5HHjU2aG6zgGkM/ewDUuOMRikST54z
4G6NCD/Z935NdrXfYlww2aeBmgghH2htvtksnL/3KAq8eLEHpBMIhqd0r4ei5eZQajen0xjuZZtk
W4wbJK/xnyJvcCUhzHCgoBj2RcGAPVFrTopHdh5bgyR2UJ3XB+mXu9QFk/xulTEQmSNNxBxcScPe
GUhnBucZ6Fv/R/81/ujG8EetvVn2o1PrwSYFNXYmyVHefrF/aevGH13eUA51qc/kCS2HKRqH5FTL
nEFeYZO8YAbsbwoGnSPz2IjojrkzATQstM9osZKE5+FQlUBF/FKlZizZmiX3sCnWfrOcA7UCKapo
uCWSZe1K1Y8elTQhA8PU2roys1j72O7a1FpYOet9c212QYSvnS/LPZ+IE0SrHhs8s3HjtqdmjrNo
VMleVZBkd31CVQC4ZB1Lh4vHidmAs1hDPdbF19TP7NV6Yk9q/Ch5+J24HPwLW7O1h0PuhmN48a58
ouYXWlGj+w54UU8XIzMMRRn46aSfkGUiDWjy/Vz59Uw33YNO9uyZ1VOgvbk6gBfNjZiv1X5viBpo
kuP4LC74n2kQf2KCqxkHshWKuo6giMpoqHYlTujHZd1y7WGq2tZNBtOALCjUlNlwSOQkmicexg7V
+2KX+1HwCoiEq9bgNYsIa+gas1B3dThzaRvcKhI8gDWeJRrnapsmTjqSEo8eYJMH/SqYIDeMaWnJ
VGob8gKwJc2QAU+0D+4xzYMS9ktZds4WSAnBg2NCOoahpIgeikQVLoxYElw2NZsG48ZE2rK3BIEX
vNwoEDuLdPf2ROwnepkSVc06bFnwBBPK03D54G4lmTE3ls2gc+OTbOYW/lzOfWRfLJBxpBSGBGY5
zzOO+fHiiwgibBN1w503QrE4pH1Q8gMRK3xnn+SZ1bCZrJrsjDSk0vteeQs0myEdnl3yHd4IVlwX
ZBYX734kcg9diA+cfVPjJWN37nQloD6V7HJYEB8rtSomC3yTT73nq89CZs5xChQbvLD0mKs3oDmc
vVe1DPsbiYJh0QKLGiNz6/nH5F1h0YFLi2JK78h7KQgf1Da73CZIe/uewFAWi2a3XpxFsQpyKiL/
2Bi7rMXMjrXPJlMNL6xl0GXd8ARjMRayRYYzpkq5RSMOcW3oUc08FHIsy0c7xP5z0m6hxjukV/yC
ZN1BeyVy1F2rav502y6oX7RdDwuRGsH65teXrjifeF3rDsv1Gt4FUX98VBlKETYs5cStI6q0zN81
MljTekaqgpR/x5lqD+zAOsuFNADlLmMVlim50sAMAkI2cAo7jU8HCudunjpWQfx/9hW8Iw4QHVlr
nTw09Sv5gtE5nPIcphkwd66LdXOumnXhpCV7LmfQ7DVSytziBoxHWTyFPC0OfWNal6uSgyRwwCCZ
m+X2uQ3TaLxJsjadtrMMOkWBOzsHYfOxxmbQzV/KqvQe9Nib7bEz8fa/V36d9seafJfv8xKtZ0je
sc+nD2BPk9szuF6B0+a9QZA5ybQM7eBicMzNUmXEvA39TVSXhbf1bGmnHHsYCjZTZkev7LSmdFfZ
DbfJYiROdHIbxrffWCWgNMFGzL2h1hN7V3gGn6ielmnHQ0Z1N5YcbR9WUDVAnMLcum4Eu+ITi4To
2Zgp089LNADyHXqCWTc1sxwolcDx9U7XVoYoVqX4nYhIzFTM8tHfLy0xRnd6DqqnYiJiMwz6o1vr
yTsuyufLKU2rXw4CJUt71/javTUG0213rNgg1aezEhmcQNxsz1Qi/VeCtjhGODp7ANAZ1IpNpKaw
4ykwd09V2ln5B6vFE8OmnwpsfhGDg3wDiRPajiwwyvRsJEJ9zlJmknEV4Ps55ZFpvdO9ARJejl2f
78AXc5HC8CmcBw0MBDqNT7LxphOom+9W3w4kX6obBuFQs8DnhA2wGLkENWdH31c7Sztakp9hh0By
wo6rv4SGGWznZDYBQYre794jkiFX45pWxJMOwV+V1v1DEzUWB6wtomIfopJUGz1+ZJ2usE+X5RS8
oNFnxau8dHDvXGh402OX9GtwHZDreieI8Oj2NA6od3LchO1tIEXmPNjarPxTotuI96W1kd6V0mBl
WRM1bKOnq8fhrqoSXr+MmCH32QpFVdo0oQ653Pez74M9cwmiuLtWpf9dJv3NMslyA4v6+z+PUk5f
37L25+HqLz/x7zGKRUwMVQnGHsf0ATn8Nkaxgn8hXbC8dbh5HaP+OkRZzUJmhGHIx9zsXil7vyyW
3JVATOtu2jyR18bd+SdDFIYvf2jo1t/AHMenr8dWwhPi960GTr9uhJjhX8hHMk4pgs3upiFrjxRX
HoXr/I/HQek0Z21GfvW05MKLPuNj+pYRj/GEzxfruNU6z3SL+n2JCPwGC4AmJ8kOeRSIxl9BO0sf
ASpz1kkmMXWcjVmqVPdiNh1md6qNyqlvygjf+DRVRQFTNou6DSkM4Z4ozOZUJzNB5AVa2Bo37rap
K5c6PPT2lA62vWOh+64UHHWbwlTJbeUIcduPFGvYKruzHUn1lef+J7cewq9u1Js8vNvgYIpcfIJM
bMauV/uEX/ZvCAws3i8ZVOjj2HvcEKWhj6Zo3T1flHEBiJUQpxlM+wxpukxiGUGol3HAOr2e9l5f
kY1s56q4N7LMfs8A5dYd8Q9auRZxn2fm49xDNh/GDsPwYL6vvDx60eBi7nUDX0HY0Xvksv5uMuc4
cab6nVsY3dEdpX2RdS1PY+jAKizy/LaG/nzy/Cy/i4zqLRo6GkGBU9MjXfWmqzGXVq0xfe7LIDnN
iefs4egCSKJQ3i1FaH3DiUZ/E0IsO0Z2/m0cbbkjHU9/8KxQNahTkA50rI1wMVbhJ9sey50XgADQ
Yfu+zuv3ncGfRg1Kn5ep6WMyGN7OcZp2h8iZ/l1AydsEqoFgU9WTZ22cPKqfgkW76PLNTJzWK/Kl
m3p/T64ixlXkjqwL7bFDURUEA69+CraIdSfnYE6Oj8WcyMxx45dW+uiCRXqY534B7p6Zcba4HXku
NtVybmqPvwILNaL1PwCClMh6DSd/UqCdbr1azLfZ7Dt3dmQXex8eywONn9w3fa+/DKFbNRvsSkM8
lob4HvU9aC/witahDgp1S5JIftQQjG+HJCTUXPsq/ZqheV/FMN4xs9DXbOZRBMgIyFehqw5MKqfZ
3PgywtsK9AFnf+cDAQA5ML46esakDv7IJim57GaSPwHo2GkGojezSVc2YDdv2tqObgjy0cVmEC4R
F1PXyn2keGh0vKgASfa5X+aenAbmKeRq2Nn3dlxapI9VdAzy0r+VnvHVh3+wcbKsoKUn14UwWoPp
DDwrKEsUAPugMKP3+cQiFX7fjUiIXKdhy/ZV6pmfJ9+q9nZu+V9KiDXnRdcTVvMp8w9KogqX1qA+
MLFxHowyAb0RhMl+ZOSZQjVU800L2XeIYe62Z8SAkJQoorLdPNrLA2uPdrd0FPu+r5st4w1S0DHl
PgJL9A7occdXL/Nact2bDGBQUkLGiNL8xhDEd3r4mmsmp7wlhjQrw5wxE+QiBXFOTjPUyqlgZJLM
uxzr7cukO80QtrP2GXunbRbNfCWDm9xlYSMffL/DIxPK55xq+DFyxqNsnIWoJzhwrQ7OgDxztYHv
rE9gt8hCUH6LZNs2dpaCjUKmTDg/YfAXd3U/2c82vKVPOQFQW8MnFAJmCBLNOc+SU2NGwZMuOptl
Sx87Wph3dUA4VtOqd6nbyZVeUcB/CJEMA8WKW68BtVTnDodCF21TVlWnpbO+Mi7xL8LtmhOzKftU
96O/ya0e+0QjYIfwJR+INsFUkItng+U7jbjtDE9LlM3fgF9gJ2DNBbG6dt8BMFirCYt8AyJz4Mfl
XnkIWKFvyagaNqa9DDd5hv4GtS9xC6JJYz+c/DtTNxAU0B+fojRT24To3I9Ou3KwAd/FBm38TrrD
jDSODukjD8Hl6EYRqKKiMzZaZUjwfXf8XiRGS1uRt49951uE6NYoVjvzLV3qdNdZVbW1KUsP4YRl
MRYAmT7aSzrcyrp67Nt2PGMXaWJHSnFDmO7wsDReu1c6XB5MK4/ue2gG3WYYk2Xnpr481C4pD7aj
wy1DsGk7Bpn7jYHWtMM4+mUk4yEuOTORLpUqiyXBpLeZsYLuhafew3zKY9cSyyPgZFJPnNb/OIYZ
94bji+1CRMTJykt912SjwYGVkqXr5e6nsoIpFeLuuVhJ0xwWs7XeVJ26Wz0sL8nIkW6r2T56ky8I
BsOk8wQ/XoNDXEKM7dXjYlonqgeTcYxj+fjRZr7gBoPjNsgnbFBlikvfq+MCZPpm9pvsoUA4Aay+
S9WrmfrdOQITdU5Ru0J2LZPoyLlJVO1g3vZMax6BKjyMaU5KcEViPbyPEk3AOD4Xs12fE7JvuCXy
A1FrhFYvaXaKQuOxnKGLaiDQIWhPINFuk4boIHxSdeC07HpnrGMzTG6JlywPLR6kUwKMgWkC4cZK
ELTMDZXtxxpZazqMxcbWBMvpMKlvU09yfKtEvWW5KQ4GdfzNMvXBFyuoqs+yF8bF6+W73qm9pyV0
X4gb6y9llHS3SiEll4OxHMIxGHedF0wvNCPjmUzhtwJB/CkryA/riCY4TONcHkfIu7iijbQ/53Yy
7tw8dR8Z4rcPpJcBD+fJNTE4e0eQs/2R2G11S6ws21nHSqb3Vp4bK9LAu61FXpzt3NuzfMICDNek
9N1XbSiI9jBtdjlclU2QTtVzFKbiMA5hdy9C6PC6F4guu+RbWKYcgQDtD2EfEWBJktSxb6tV7Oaq
G8E65cMUgQINesL6xEJqMtTh5bvXVc9Z3TRMYIrgqYQpsB+sciBEIiG2tnDuJk5Vwl2sT0kPao20
MGLvRQud2JhJjNa3MC/cl6orm3NHOvzONeR0YCkT7XNdJp/kOGs4Ibn8pI2GdXTECr2d7OkUkMyw
B5b4SVmcK5FJrAGLcRqn9Cp3fjNGULdyduhHw2I5R9FMQkVa3ejhhoWYy0KmraFkVG0aZ6FJGrAZ
VC+F4TdPFFUl0VIhj3rPSkDzqTIs7tt2sA5RkIoLadls/x1xCLUpAU0SkddozzhkhVvvAcqnt8Gq
XIZXOh7TpMhZYqnCf+hg2ZwyUO97spBokYoCRJWrPvV4ReOWfZU4MM5Z7oUKirjEInxuF9nsybTQ
b2OYhHihO9Luk7L3vU1J69psfLotgE2L/tIQ+fPJn6fYpMx9q9Mo2fJCvtdj3e2LuolYGaD1Y/xu
4topSoMkDsnUjP0JsVqWWzYswO0S2KHrozqvuywm8/prMoCZcpsF5nHtE1LqRYjty7K4p+6Nh9ys
9op4172ZCJ6gKqHV5xyIeQgLtimheUwcw/xO/JyHgapCxj8osnj8gbDDNWeV0oOpdFW+8wKIsZve
nPVNkvQEnTY2Gal81Z/QBqVHWyfJLmhGRjXp3JdnCVA5TjOj33YKuTtepCT4gBlPRqRzBd4mX8x3
geCBxEw/LS6WGqwvmvCu+0XD3jQnu4qdpLRJX1uqxnoKdQJBhBj1MGu/5COCeXdT/7CC6azEF5Zc
TWKDDqP2Wc0TnxprRwLGgFFejWWFxHaFzaxaPWe4VZivROjA0MNhTDOG1aM2rXY19gAY1yJeITWC
94GfaT+xKEz2s002E+FqoEit1QRnrna4kSnFXSf4r9vebz863HlOOcs9tblxV+Lr2I7pbB9yuPxY
7IRuvsrEtO7a1YHHVpI4DEUzdwlG/5k4RgHUkcQMtxJ9wpxpETeJR6KGt0QSWUfnkApF3oaBjO2d
qbIMqXBLBECbqfHoVgBnOQ3mLVWfvW1dShgUVfUmXbM8/DXVg0Rpmwy7nkzr1bSae0zS4IVDXfLn
2tkEBn/PLEX7ovPJfd8TXgwtORc1McqWwX7OrJh48ck9Kif0iGYY5o/KS+4JGeVjNasIuoyK0u1U
pGDSoRuYd7NI7bgY+n4rYU6xTPdCfyTFWBBYwlOYYCjNwqbooYZvetHUZ10XxXMaVqzgKT3pmfrp
MjdL+lR7S78P1w87QaVyMKKB7ssjaONiJJOSRDnrCdyjYLRR9N0TuZmYjfKW/3SElXUqe9k8DimY
U2ZJ3avMpPXBEmH3oWnT16QOzFvXJk+KCGETnrQtBHuWCOjjOJk3KIfF08QCu9kmiWiCOyKk3XdN
1r0FC06tjSCUMsOHZLIgUCaP/XxJCYtB+QOnt5qr94VJbhUe0OQQ2hELoxmA0oFWCFScHNXXiWTJ
WNhuetPXqdjyipp9IQtuQg3lZyP9wZs3tB7UOl3egejNPPV5oeqj4jdIkpItKTfdNfCmiar8UaYR
lVi3SOywBbE4PdGVO8Q40UmteTnZmpzjZWTo1JiML6SMr1kxJOz4RO1UYbu8QJxKvI0PJhe508yh
YXrl/L7kqLC58hWQqCJY7o2ZAB94yclhsKfqkT1fuHUWriuJLWUDSzs9Q6bLURXBwM3zqD02RWLF
BW0Zus5mLWQtT956DsV13hD6yAlGuCdhfGzz+ryouw/toML63gJe7eAw8WnGumsC0dQyyiLpzO+R
+zMSWb6u2XTqwYqM4uhjDOYXTsb8fmi00M+LMgqer8ZAwzs8jCYuMns3joEN2jlypFY3fCSS8M32
qp50fkgp/z+arT7DraEvrCIBpAUdtp1a/82K3vrj+jZcpTEIZgKqMqY7f2SDoKhV2H8tdUmN3tsa
kZ1hW0UYgafCYA2WpJ/s2ln9PGen9PZoRsEaWoSFJndiXEhAHMjbMQ4RoSQlue0/zab+F6HKH5UK
19cGeMVatR8IdP4gkKitqYN5ZauLEPISCGrF5JhPl3/+RyzXXZU+AG/+pFb2ikHT9E7qQtQu01la
YKjtTdD+UCP8dyT5NyNJ+on1e/vPI8kLWaDZ/9u+kWz+9vNk8pcf/GUyGfkkoHkAFRDKAFWwV/n6
rwwjE9knc0eUJh5VArEcvwm8rrNJwjxcZpBc6AFX/6+zSe9fkcOEJODHQsfm2v8ns0k3WMUYv4lN
QHig5QHtg7+L/G2Gk38Ah6BFEgR3BvbtQpBauhzyfs1/3IIyh6zd3xnDCuWukWcTRugV7CtcAggM
WGNWzLji2KO2ukWyTWJTZ9QY5Tso8jhw7ziNj5l0xnPIwbR1q8i/acfGeOqaXsRtkxo3Q84Un1bU
f5oAVL4UrD6bDWoJ42CJroVAR6Xv98jT+X3W3gYl0myiKXEORRclBNsKvcm89Fjm2Z0P+JshpIvV
sEveqaW71z2R23yOsMuEdezoAjbo6co4qPyz5VIPjWVEhFP3dfQstR0LQQ04ySIG+DbfJTBJd2pA
Nj6ZGMJ8zM1Vb+wSjJz72VwgyLUE3bKwOyB0b95H81SQ8lvm24VqodLyXpZkbxppOeDvHpx9FdQY
fj3Md07t8/dra631KG6HJoyOcz/mj0Gatdj6reUoShv9BplnGyXEdEyH4l7OEWUjwMtd3eXWZmTS
vSG0jZhN03O2ac6ACIY7o5e26s8MB+8yiyRly6kfaRzUbkiCA7RGiJGoyRPWYJs5amXsYi7d2ol5
MPLCir1sfvWGaSbvdH0Tohy2A33ztpqJZ2S85e+qcPyM0AwwnK7PgsywG5JK5tix2Wwuwd7IK7H3
FsauY+mzQgbdu+k8/xgl0XmYYc6Fpc3Ge0kM4iHyduOYo8c5TL8MqEjveY6TwYDc5mRTfTxDEV9O
vcX4IGDatIdZ5O3t3pi3vTZdFtCev/HC9KBHylkC+txdZBWfhBbuDR7D09wkKGo8uLFjL+HiV+kh
czAvRR0wxaoydmXRPVN4voZ6uS1sFB4pdfHegJ6+s8wlOwSiflu84lPRDe5hTTOLVaGanYno5NzZ
0Td3MYrtMEXedjX3VkynfMUlEcr0XdQW7R7v1BzbeCdivHPxFJJI5vZgFa3BO3V2YX2aXRCNpexv
tFF+XkC5E1AQih0U+Pm4iiYg8zYhmWdcCzmuqC2dmXtkDEsHzUI5Nqv/Ye9MtuNGsi37K/UDiAXA
0A7L4R37nhI1wZJECn1nhsaAr68NSvlSZFRSL+Y5yJUKiRLc0Znde8/Zh98rLPnZUH21LXwdb71a
jUSlzd3BCriCjQidvYftYR+L/EHaXnJBMEK1F8G3hP78KQO4jiayZ9yXjlWpiNArZ+uXWXZbMfyP
auWRh1WQwNxmobxfIbBbsoqK28UPnK1Sy4XqifYI8mLa0QNjrlmAU3XR1O1qzRaztw3zmoy5BYtM
Ue1AYKTR4BKVgeKK/ZefeycWubtRlgTj0baTk94d7TNlmMPWQEn4QAg2Z5H5/tZ2cp/CPZy2SO26
jemuEaJubj7MsWNuesPyeHI7EtPSFln1sGAQXYr6rjDEfB23g3lq9WpalT108qPJKKCbt8FEY6jy
oqFEuSqouvZ81OHcN2rBDxrn5DeVh6bwLg2n+JaRaUjWC52nsWNUMwSjsfUXzme7KBdPYom8W5g/
CHIOtii13dN2XJAteP2dGWQnA6xBiOXrvFC6ayJxt5tMuudpyL5+mUpv6zh0AO0u/D4g/iJu4zq2
husSCMyGMQTi1Mx4qRCo70tU7LL3z7OJn0ePcpg8fPy1U9d7P6FvV9G4YabKPADOQEDZm33tGhpk
SbDcqQZbKd5jyjjmRxvg8n0EP2vGDU/RI+uOW4rW3cVs+3SM7K9hJ7C7gEuNxkq5d7GdJrR9w92A
1sPkUTtop3sZkVht/GWOL12ZM0QoLeuUQr7Y08MdwUJS0c59gTsnrIJjKsyrprS/eJ46zxMnP4Es
+RhMpMX6mddH5Sy8kwF86H0YjuDgJTb11n/xUiCdY7wGFCfQpa3hzHd6edkGNgQ4dvYuKJ+LtcNU
m/K6TGNKDcEWN+66H1IO5pbAiBj71kBonjNk29id81039eX5XE6SxgvubJeMyWOZ1xslUoJOgvB+
duZjQ+18RvLasB/tudv3AdxkHXDEelnuUUFl14q2f26xCGkGVthwQp5nKyn3cnBdUh1dwq9AuxHG
l52RVXOSyI5B/SggzPbk+5CVa25xlHlPZaE/T/EwHP3Zf24G9rBpUtK3s/vpwMjK2CfkkUc++Kyr
vhyvzYRtfgcuig8+XbRM8qPetYl6jG8bqFqY0bK97mik80KjV5oan4aQgrEz9LPIWpt34TCcBOMC
2yFjUjUjFzvy/s1O09GZDgktOAb4BnnIa3pHAAOBiHHh7hN/Enu7JFsYU6x1SPz8Exmp7sliBNAI
1ZkqOrlpjeSHMFr/FO9xvDf8Es1cSwCz22A0tZzKPEVQC+/XYSUnFibeS8Ss2ymYF1F/o9lV9w9O
1seKkMvAYGRx1BNEqJb00y5opsc+HiufR7HzVI78gLuvCq5iV4ZTu2qzivUha/LKVYJs4iYbcX22
UKcfxICIBazNPAPeSHauAtYAO7dbqFzXLm/s3pI55nvyCWRVvdQItWiGhlHeBAyUCRArM2gZG3Rc
i5T/nfj/r7wTbDnZ7v7n3TXa1EZ+fX4z8//5d/418jcxhjrk4IVolNm2rirp/9lYr1YrhPdAHH+m
5P17Y41OAOMns/2f+E77N1uVx9DfskO8Dq4rfOufxQ6/8hX/va9mvEXcno+22A84nBO+R4SahC+Z
UOONswABb07vDmDFPHyWY+jU8jQ3SfLosMEzAMwPPuTQzD0n1ZfdGnBsx/XpRpLY1hIXGuKeEhe1
gSreA9vSo9XJeTeXklH+ADNfx4ciyGDqnrt0iLFOEWeSxwPhQwvHejBdBnJLskkGdojpuQX7GHAE
KwDLQBqQQmSMHqkyp4I6AfWRwP80Yy+NR/PJrmXcR3Q0ZTvfkdRiWfS9nIQ8yyDVQxpeZVnPNplX
LG6jwDaqCE3gmiU1yIX2IT4BcnsT9spB+1Ni/t+i9A9FKRkO3odF6WMmk+yd4ejXX/r13PjuXzZP
BtWtC+KPx4aC79dzE4i/SIl0EOzzBGBFElSdv8QyIvzLQSQDQM8UHv1VHo5/FaSCCld4iFp8oJ+2
TX7DPylIX3U/vxWkfCgOj92bf5JPsVq734plmHoy75wT6xgEc80GY2wI0IZgB5xt7tj8iB0k6S9z
HbgryzpJH8yhZTjGnooJajJcMjHMGOONCEN9AgZ3ZOUF1+mMfVESf3ff1BQHbI6Cky7u7+MxJt0A
CvxXU7R49LaSE/ygpFE/2j0Wx7ZaATojhKhnN66bs2al3jgzLMSfslFtw78SrccP2Z4TPvZeY7wU
2tcPhWgq/ULcSOjnpxlZb5dp4+8kO+0g0fmZydQuOHhjXIMCcijyNokxOJdDj81xa6eNcW84LrkI
kL7HXRsgFfE7SVhflVE2wmrRl5bU5VYWafClLEpo9KofA05LY9tHi7jC87yFtUcptpop7TW6Npgm
d291ZAmzwn5zqqU+SybUg26wMGaRTvFZYk/YMRRytoZP5CYRYNPjKwAMuh6EfodC9dC0VXsdh2Ar
Dux4wXrp0XjqVZlRamn9kJqKjKAM4BfrK/vlR8i4Yx/5nkZ3uMiFVr3OY2ibcZisIm16nvZV96rT
M1zPupfQy78OGDeXjQcx7slJwEaCD7Du9STWs1xYnAs4INZ9WLhsJl5RZUxWwU+V7Ypi60VpjjR3
AQApZu3wBnvFTlS0NdrEwB2RFAcpAAwIQx0K9amGNPkT9vT6yxIs4IIo0aMj2w2vnJ204u/Qby38
85bO6JMdLojdwWLGjznJuRmvPWhtPTLplXAFFn+bwOl4DJqCN+qrR8oaDAJRZDBi4HoltNGM4WtU
w5gdJh8tCSKKECZTCuyjZUyrDiiQgcdLrRZQVjPHnyvwH3ZioQbOnYUv5K8nxe6kk5/1xQICxghW
WNIERj/ZwR/m7FZj3CLEqhDwJvGI7N2dpci3gfYRdwXMCe3LeCwZ0ag+NinB2hGhJ6ay/vmVtpUV
qzT7F4Op6VB7IxzrIagZiI5G+o0ryw7L/KoP9tYvD3hvVdjaiEQjOWl+5xVE4ngMozWJqKhQVd8C
uRqMyDFwkqBJss3rgArr/PWInr8SioGUiZOpJEUFEM3aCs+RfD9OskCVLRwX5agz2SPyVGk5X01U
SgGcLjA9ninbJyAtCEyhygK1y3LXuUlyZqqFWCPQM5FJtYu9ASJMZ69+ikSQdXqAYgihjWjZT06f
z8bj66cMsPkmx3Jms8q01+XDUi1zl7EQW5ehpHKkllIsd8qb1pVzLULv+mkl+7G34ZL+ZP3hBTDV
ZU/H5Sz0oJ/OsuG/wzkDTUXcLGglY+UeFs0rQ4n+zsGfSt5Qr2A/tszWvM+6tvyxLC53ZO4Z6z1l
YQPZAFsJqkMzkJJ65luVHqK0LXSk/aKfMDPZy1Et3nSLSUhfjzgSngR3mojMZoDRVaZ1ZW1CBw9W
HwwR2gvy7lzb6MaNshWFXlUniEek8i+9FTaThxCZoMow7xBsnqD7zQRolpScT70zqBh1k63vRu7i
Q87wYb+gfmMYmbg3Q9ar7zkRZERNsOg8lmGp7wKP3QLyP25sWyJxIB+sMc490zH4dlXRiM2CKket
wKlSMHCsV8F6lmAg16HrHydce987qBFiZ9UN6nA85bhKbDiXJ0mywoeRIOcEEafxo/R93iADoREc
sJquJlQyO4fYnGRn9GKi8iYgAQ2+054AnRGHpgxSZCmsGDcrh+mWaGKvRvRV5uCfitR+ADBIt2uS
84vjV+I0ln12zGnxPGNrWh6DBOz23uQVeN5JL3sRDCruKQnnk7ZCkkx+fRw1mfGAJl0+Yk9X27or
+oahaZDB6mKoZGujPLd0PfF7ut6jb5h3dWIuL6Br6cywQ1NngcsYnTGVPzPNXWLxNDPsOesnSLER
vk3rZGAAfoHbm2kteL81eaVHx57BZ2Kb2F1SeFUvaF9TZ7cEktgKDcvztGYKfIly4daqDLp6NLWF
jJDwKAvSG2/zm8UR6clohoce2cN+GcW4VV3RXkxD3SBhGeLrepS8TWZ/U+NZHW6tuv4skonhXR+q
JUETkonztiAY/SGGLfw4paW8I8LmOnXH7hbRDXakRFm3+GX8u9onp7UcdB9cdYjPjhnpJjszSc3P
WCU0TJHgfkls79OAO+PQaLchGmUik5fnoy3b4yj1+uBPR5i9GPtb+1opRmhe1aburjRTk6TVpSRS
uuvNG5U2zU7bxLKXubQ2KmfAtUlHmkq7cjJravU4nb7EBF6UkeWQSLo3QWsSK9TBpIsMi0TVUdD7
RjTR35PUGjxlxEYqlkL6HkPuDBsMR+0J8FTu6knkXzTL+xkD/uGyt80vk2RC2yIyZAI46ZYhfB1D
CvEYT+G4su/m0HDOZhiFN4Xl9T9GOhdfZgiB3Vfdk01zQ/sqTs56Ol8nCVC+qO3kZ4jA8Q1AsJjM
PgRybAX1+dgzMyX9EsuAJ08HJYwrKXtvp2yRzDByq5eyR/fYLRlZhu5s3+RZPz4RKBVvE/T312C7
3Cs9TAlJqTXtC9pxfntJ6E9xYcadXW9TXIU3DoEkW98ZJkwQJR4Mx9OnrarqL9nQO5HbtEiyWvO0
MOVjz5K4I2kQe3NuPlk0AvMpV+fG7DqfpykRpEoiCyCsTFmEp6XpmUqc5EqQ4nox+JLEqKnfFL4N
Tc3EbcqooMUyMaXkfo/4eiM7BRe6RVs09Cx+BlQ9bhUzS8+rKWhW7NenOMclkuAeA3PcOAgc+mLr
aRRxVjtyH9gkeaWaeOBEhICdkQ/Sa/KArO5DR5hIBexW3ASJ411DtuvvGoyZLPQ1GiKVp31ULJo+
SD+ScIZpC6TWg2d21lktjWxroUyMknp29yGwljsYXWjYcrYfe5vm+laDMFW71tQGyhKPwJpZpel1
pcm2KjAf35tSjmezEuYnJEW8oLyEPC3XH5GIqUxt+yq8Eb05HvBk4w3vbac9E9XS3aYuGWDoZdS0
G5oaXXA6NdbpQEguGlDP3MrYOyFbKDhvimR+MBXjeHSgZOwO6ecc91bkol9mQ6HH5GFs0ZD7Sves
uEqcIq7TR20mqI/CNNiD1uU69IzkyWiqkO5EgT94cj8XqcuTUPVF1GqXHPNsYHUsU5DZnV+Vh3Zy
gsc25IuPrZZ3cd74DAC6ON+xHKILzVW27cg93wSAdk0trds0pvu9kTkt7AVj4VnjkB6FbHoezrR0
0CrathZ7/o6+8Csa7ZHP++Y57wbvB0KOaYeE112OKd67760PlDIEuLQr161VWym5KceZXi1tcrKn
q9zbZUZHqx5NfYRRcbiYWgt1wVz2Ef4qYumgzp8VOfKrRQWteGB9Ky76uiSpJ6pCXV3neAcjVbjN
7VDpxLstQ2T7kWugshh7pLYBBMxvhWWbyR7dZc0DZLIXLDyruILedofKTZ/XhVIIfAtSs3MVxDeK
bcAF/bmWN+8sks/0C+tmu4icPZYTPiWD1dwuuAXbTZWk6POG+dxVrnvZoceQzEU6Yzs07nAqmrI/
01Y3H3Dx6GvL7dV9OlWnHV6oNlj0tgvt7qpSjfoOQss8kMghT63RjQFTB49s1Ka9rzD7+NK5ySGd
lBt3BGm7z3WVlKcqXSZrn4XLMm8mByELbaC6yTcVOqvbQZjtN11UkOJ45SGoQtgCYZGsNNLgSE0r
BmlU3+c1TM0IiVUz0kWSsNZm7vAt6Nv7dphr4tfkzzA2IkIFFHLtHUj48m8bUtuIONXpWf2a5SZq
8ytG3fYCtXmxyQLuhZNiymKucz4X+Avz1L9lsu+an7KKXzFFkkUdXzdYp/cueBVcrIxPpk9L6jSM
0mSQ+NeJ3XbXrH4nfcUKOh1/a4D9f1QFa+H7W0fp55Cfxm4QuAQB+O87SgWbpRjlRnN057V0crN8
xV9Y8O1OPj7QO2nFzwOtltiAMljgunhXgUs28+hUm+Mrrpc6FZNuX3fs1bgMzleVrUzXpNHsR0nW
ap/+6dED8jRIzyTwIBQM8t4evQVw46OVa44yb+17b5qCLR7ema1EKY+NNjiq1/vsB3+STj8+uLWy
Fd6eZOQUtknb0FpJE++/O/I2I2bc1xzRLVIf4FGH4OwXHUkwuaKCciyPLz+ukOw+QQ64MWU9UAPU
iV8eE0db9x9/oPXbvv08gljF0EJ1jLcJtcDbs8HYa5jtZGVfSgn2UtB+cLPUvl/g2T+HRIP/Sbry
TrvCxXcEth7gE77psD98pwdAnQ0NxVSojkhfPO9T6jXGrhAoDMgjyMSH7ykSdecyGYNBnEjpiXiO
0Lml1UXu5lh+Dd7mO6+rQYu/Glsrw1vaU4ky4nFMeyAyRcOd5MBuYa9eeXgYE3AfdHGcfrmzPQNn
Inlv8piBO3vqWwDKDS3M/k7hNlf7pbcs9Jo1oibny0IRWURxoKnmExw4FHgJBSjebuueeGXw++TC
P/OeqH8Ey1jfiTChjOs7xc8j32mfzMrR+jyhIDbWBdOkqraM+AaW86D2IfhQdQhWDPPMD8orp2kt
7wClHS8vo+nm6bUBUnmgN18v+n/bm39ob9Je/NAF+H/Lr9++Vm/UNj//yq/eZuD8RRwNz4mHQpcH
5jekZBD8hccQ3gdsFTiPr8ikf/U2V4ykT+QQ7x2AK36Ife+X2EaYf9k8CcwYPI+7nufwn/Q2//YC
dz0SUvkU9NsQ7rzPBGZYSLknHOMYGgZZd4z6l+MQOuoPr4y/PcEchrRenzeoMOnIvntlLJaSMwZm
g/LfAdndVPNWDGZwVU0jDMZ/+Hpy196bAA2F5tEjRuft64lrkatwFPFxtprwyvTkeMFURpw6i0nz
1KvYXn58QDor79+ILi9mEHqo6wKLl9T6Bv+N26Jhv3aWL1HUzdQ8mxiU8nkjByq7xqBPiVtpCh8h
agl7bw7JSPcAmPB88JrJrg+dmwyROzLq3AwawHa7IoJDVhXIS6E0v9VI8c+7UIWHLk7Cw8QOA7bu
bEd1rOvTWVrVDd1WnH+G7B+s3qtPw1G2ewOv8GU89xm5lLlbb0VSpweoHPCdEzXvul5VN7bhLC+8
U5bHtHDko98mF+YwZ5hiSkAMbWkeF1LTLxyHRSlKczHc2Gqofixiaa4WcD4PNiEjG3SF5d7t0hoL
EUnx7OCno9nEzbZbOhsDj9kgeZ2nnZXqdgPXRNEa6ptLieSBlIlCfDXLBE8FapXtgj/t2AGjY7+l
w9gDMGo33xWrPR6USiNkWdIBQewE2VIGzt4EfvOEdyuciq1OJUswIx42fOopZB2Z1Xlat/neJ2m5
jqaY+zwiawYtsCmq+tsgfcj9QxJ8ysPCvg0TM0yjyVThcx4o5tNWiLeOfeDcYKzKM+DNY2CyugYi
/VakNI6QwTjlFbUuMS2ek2DlHqbhbB7q6ZH5MTqbOJNb2y6593KgrBvykt2rTFAb6MyMYg2/IO1C
Kl3LlE+V34z7hlIdaTQMs41uvOoZ+2d6SOv0+8zOAxdY4J4lYTC0G2txU2AEnJyU2IOLjsi/T7CF
jBu6TMu5ucSkGyNQKk48Ym+Ntfsdm3T1jDuHqd4JKhXnOE61QmiSFedmngzPtP16dvg0g3ZLsng1
nagsPOUUKPoM3veuL6PJIncVNxioCL98NoWe8BU5Z7HRIzYokocQHjw3aVsejDZg6GdUOlJ6ws1m
E18dxpm38dv+jC4TlZAGNgt+MMi/uoGJQt7wvwhcUdsUJPNO+153G0+lfe6l6trV2DQ2zDYdbm2e
Hu3aI6xVBwuwNb5ojHR7Vxr9RWHXy7deN3PElXW/tboorkCK2Nti6fvbzu0NWt/BbdeF2W5wl8/G
IMWlvaT2jr6EujQAPe2m0Jvu6jocIkBI437GKFdP1SdfxI19zIpgGikfkzGdv9deVuDMB8sEnYce
MfP/OWjBRS4qp+JKqsLdQU+Yi2guOwjWZAPM+qQMzWQGS5N0BJzHhpEsj4Wa6P1ttD2oCeyi0SAR
m0eV3zu/skCtXAfjdO/PfYqmTPkJfYPVrkWLA6uLC0UH0j2Y2MM0Lp7/WWMkCeBnF7Z7UiFnQXJC
6G2wVxSpnQNfsvcAbU9LcjsWLj8p2mxMLr1ODim+U1K2rxPPSAKxab1OpWdhTHgOGTLx5D7ZbTrA
rDbr1cs50cyyH/NhMtx9t/ZAn32dcqFSdmjGKVqbZJB3RQW7AP1XqIonw22Lu3AkDUSaa5XfVL57
HM2+fPRJaJZ4n20cTNPgiVNXjw2I/WVcLUFGGh5c0Denk43fy9LaPdoVsX4bXczZDBSeyQvzKbqr
ivQV1DuxF9/N2GypB2swduQTtHunWNNZIH+mmwFq3/Y1frBVZn2aYXXY9dWw1FHFlJmHPaB93TkO
G3p/9K29RZN8y3CbQRR2c3RoZqA3BvBlrkAcftGSX3UwmO4WZQLWdGtjaLfjOFU3Wjjti+MxL+KD
wOAsbIcEEUx0y3bwkNTs5Dw1J+BbwitM4d7XkmY7RrNytOBf+RWJVMXKNQwYjEUklvFnLnveH1Ar
ykdh9vq6LHJv2QZL1dzRDKM6UGwjLF4ehTfw3Jbb/+4C/zdYTfisABL+szSEXaAq3m0C17/xL2GI
Hf5FogFYxcAnEfGV6/BzwG359l8OaX8gJF3c50SV/c9827f+In+OH6esdslQXKvOX3tAlz9yiV4N
BIMNCDbC+Sd7wDWC9reCbv04kPGYpAOt4XsG73G7gT/OVTWYzgu+lzb/wVoSC3M7TYxeUNz2uT0/
EkyY9Xs1i7IiSWN23e86Ltv63GrQUtj71nCYuBVdYLBW1mFsxilyENKgH6SJnZ0XMqKrBZ9SrJPR
iGjSd84YoftCZrUlEwXwEaTF1sfTY7bG9JDi3JW0vQfCQLbOHGY2TZDBdIODUEnWsTqylIYyKpno
YTuvx1y1xCYp1HZ/SrG03qIPHRTvoVh5o/wPHC9S+rebOyS5oN/U4r60ahpDZCWo3XDTsIaxNQoT
BkFGpK2srn50HuLje2cNZZW0edlfSN49U6Iffru3rn+W2v/nt/Rd+28fyWeSinQfRQQqh/A1RfK3
/eY616oaJZNnOi1ucdHiYC1OEeKCxjms2nA01Wh5iO4CwNMGANpzTVodmIy2Kb42Ws0d+6QBt9Ap
i7ky090SJ+DXl1JzKXZ9v6TsCKUXG3rnEX3lXS5LYfFjyIDY6W7MRA1++Idd9NtKxMExs96DKI4Y
4YC6D98V+XFaAPsqyvrFxKbq3bkMa5rbqoyb5frjs8cT9fvdzoEE6icnZNMfcPLek09m3rHh4un4
WXC1kQ+1xPOg2rVNnnCAS7lzhY3PFSmearc0+qi1En+8ZaWt8x8ff5K3ZcP6lWmkoJHC5bBCH1cZ
ze9lg8V8A0he7j2PKpCQWNo57/uNhFzhi1P2YwuK8n92REhydLAsc62QTG7p9cb67cap6YFMUJPS
p6JBG3WKJ7SvHmx47fLcVv0f3EDvryjlHnWRFTjco0ho3rdtPKjPWdoq9WVkLLo8kucuAzJ28naF
gn38vey3OJv1Xw+o9eCY+wiCBGSbt18sgYRUlvVoP9T427FaDYykkn2Si2x2zzLQZ5gtuJUq/s83
5p5GqXYJ9UE74KK3bTXQCTJibbE+Ge1EU7bZWovjjPdmlhju59QnNul7CuCUG8LRBlI/CJCkMzF6
DDzUrMzaY3569f/x5YwC4RIBdobgn7NG0jb7TWCxR+xODAgqM6aoxkycn7rN/xiv/O58cw5oDgqT
sAiHoTcUobfnwIU4FVYewIahytPVVtEkxshuZsJS/vjx+V5lV78/ROs1xTvk8SoDxByI9x3Rae05
t5hW7gMHyyrHGlAiXK54b74qXXO/Edufd3XJ8sdZqNENdy0JMq//JcdBI6IwJpOTCxMtICktt8q2
mbc2xKtyOjGKfDCWcxW3qUfeY1sV04EwQcUDS887dj9nBL314570r2KZUMzCFJwwJ+S2l2+XwFz4
s7Gp1guOaYKjMPrlfed303rg0Zp81jbDxa2CgsGSCX/ZH7v1uvcS51q6U1OOv2czvN672OQ93ghx
3Hf8g7NVTcTxfXxKX0Vk/26r+nTP2SKYq44NrefqJHx7+Tq+AfVlG38vR+F/zmXt2tBXbPfoFUHr
RBp59p5ubng2BxnJDK0T18cKXcvjSJzkCHhwqA+hSnALsNlXGy/tu4dYaKGuibuB3JIGIxVMmN9U
tW9+H1tHtRtPkqwW+X7iXTEvac5SM1MX5pwgdSI7cSy2BlPnT/gr2hFRAZ1okuno1qJod4tHlKQ9
jA0GGFME4Oza8XrESw5Jbhf+LMdt387dzgr5hIANHPKTbPavedu7wbYppiqHgVh+MeCYMkVO6HYM
S2cCw2ylf283wfS1TRvL3cTSS08cK1HqYOc10jRfDI+ZAGpDqJkBCYBOMJFIQ0gQodHKO89R6qWE
63DM9ZDvaxiELWUfhrKIfX7G5NKpRtTgzY5Zy0jEFHCcT0PggYwNcGBtkXc090tOUQfZy0iJDjWc
iKiEG5gm5jcbYfkXC4nYQzq4qFu0B8HKh0jnZHP2h3Tgt8sDNwR7Pl5msNNtB8D4+4WqsZLCpzlU
P3O9yN6zY4whXtmgy/Ok6f1hT/H2gf55MJ8tqOD1QadOvF9+F4cmiQzrZ6Q1FauvNu+pmmz4gVVx
MaLDBWieNNUNgWFUJB/f+m9fXK/H5muyCkLe5SX+foc1uGDC6D9Vz129ogMFTi+9r4TFlvLjA73+
S2+eMeTXtu0jtg4teqjrFv339U+DNLNHP02franhmRE2y8UG08Y6205L/7a28SxkKjZoEZVu2G7F
2GK7wVXgbTXMWiSRWe9dSVyup7XR+Q+st2ACxqHsSaZQdgT3siJosbecGyKoa3AQIjivW8O/wbNh
fwrzAaiD1VgmY/YC0UAF931j+JV37U3FBJdwCt0jXIX5OW9waTEClHsrcc2vpu6JDOP6/QE6/W57
y8lftwHowzgvCNXs91sCy2BW7tCueoYyxclPM5EeRJOXR73or7UVlk/gGfV2sBPM3R35WkeqZ/qJ
H18Zdz3zb66Mv5ZBWDsZuqzL+LtdtlXElXZB6D4n4FmKqKxRlmqs1uFWZeXSIzlhju9XPXGNqHiq
26ppqiPohfBibL0R7hx+o6vFSpwjuLl640oK8yrrSXKWhXGRzbV/Pov5ADlU3INqKK8ag4u28Qga
nKOl18UFdHKMK34brkNWMTKhd7Ifs5dnl8InYA1liHvMkqa9qtyeZKAmVsO3uUwH5Ox2cWPUtAU3
nramvbB7uhZCZsn9VIZpHsE55gukGk3X2CdJuQrp8hQ9ja7vHBRz51k6O5+saY2sS4oV1fDxyV3P
3ftzSzaB7bNIUYG+934PZhxy3f34ucsc99IgdPsRDOVMDwRPOLSOtRfz8RHfzSy5q9Bsr/Xs6mxg
c/t+MGyZdgnkos1fwFo5p4shaPPHOLXOwnbJ95PJs7QVpHc/t8IsH7NE9+dwBcwbYwzF/uPP4v39
1mKryevTDlCZecxg3j70csJ+EyR1/ZJoxy8jj2HqlwbZ77jtIKlvOtMGFQWTCClv71rpvM1TD7Ab
heYWP08YkuRrMGeUDb21DL9TGRE/rXe1odKLwsvUsRNon70hTU4SwIkOVsLQnjYKiexrpEs1bCSj
uYguDsQZg9Oyz4veuGCisGa+TD4qQ5XO17OeWM5y8hnh6rB6Rw1YqfOq6RB0GqKiRVh2ZY2sZsrn
3Qjl7tGFcrJjL6LuelvXJ2lVClKYfBgY3Ik5Bk8vM9W1CDOIXX7eNHrTQEbb915ZJvgy/RadCLy7
TZOhLY44f411IgIfG5pJKN+nXjbZZ7rZ/Q8ns7ElKWLfiz/cKW/f/dRAroB1ab26W3gvv38jG1bC
DqD0xfdy6CTbv25u103rGCzxPP3hWG+fg7Xe4kZ0rJCBFz51dltvbwQ7q8sCaYb9jBtUZc4LTG7W
ghMcmewMEa6tRR9sijUz6ONb8O9fkqoWwz3OecbYbJjfHljIUknyHdV3YJrDWgP5KxY2to2M3fLH
h3o3i1q/JJN51AIe83LaSe+3kVxlq5hGu3pmz+VWPju+uH4o7Z6uSdQTFp60VzpcYrM6bzJZe+bO
HdNiecyV37K1BRUZaxRMqKrCmzz3fKLi0rG2y/NiTGQwH4fJcSp5/PhD/+3CsPS7VC0BV8eESrD+
+W9lKXvEwNZgEr/XM8YegZCFMPcfI/EnJNA3lUcxEYO+7P+0H7D+fmFCrgrTK95TDjaGdweODcvU
rXSNb4trWDZQa5+0NhWx300JrLBECbL/SOFe+F/ntETQve2khPcfVYa2x/usWibKPfJIl/5bUlt4
qgQ5n/OZS3AsJc0fzlLwdkfImNbCCGaujwnrZMCc+e15wkzVymqQzbc0oDCgcAlQPF+ztV0L62Vm
sjBSAgBPuDREnPE0qdpxaE/VuHIpaUJQXfN3bsAq/4FqZy19fpVPo0W0xY+fLSEnbul3uHpIvM8q
CUP8Vngc17puLHvF1alRZ1I81cIauSIpWVI0jXgZEtm1tcH4BzfkJPT6aZl57nEs6CXmXNh5vlbD
5pJ5XY61vnN5vrt0QtHVek5evXgTwVnWRmC2XK55/EP3c53V3JpywUU6baw2DxFeWfVgfS4w6ef1
bkAVuTwuvfApvWXnjbcq53emTVqjfibKkEhhrpmd6olDV4KMjznKRWustVzAv0EWmJnnabKf09qr
3c2vos8jwYsfyTxfVd7BHXXa3/STX9Femzud0wNQCPF49+ZJyKGNbAr5cSai69FIxKIUJoU26546
XHDjkc5Al12UDjm7h8lSuj5LO2MeTgc9aO4l+Hfrmy8bM2s+Q9m81tNm3K9dvC6IbZ426EY9m8vG
qduiOP76AtBW1pKX4iCk5DVx9nFCXZNK+EzpZH2JlSwERrXDj4u0fUd0KYEOEVCIXP7r34A9QNC8
yGIEPBG3XDNpcKGLuxa+tE44tG5TXo6zaPhOyc+z6hTgPAUenXbgB6apT4tThFADTRUrDdcjCtCT
+Y+5JVGbfOvZ7/h6vOjX26WBqJH/EKR1cNP8P/bObLduZEvTr9LoeyaCMwl0NdB71tZgyZZt2TeE
pExxHoJDkMGn7y9kG2Urq5x17g9wcAClpb05RKxYwz8UCWoA75sRMm54KIxisjFbLhz2lGrimFWT
OsgyIeiwoLv0wtGEOtwB5f4ycs8WGnX6WaJTzjNsF1UY9BuB0U4+RJUITBsgnOjrXADEVNT86YoR
smkzLC7/puFHmZso4i5YrqWLNUS6b63evPfQUUSBfb/iTY8XhINEWoTqlfT4ibmYdNUZMSuPT2k1
4lwjWh1uxE9WOsJnN6DdkUvS3D3/cZ4Kcy2gT+khbCG7sQV1hA0aBeYaBMxh6a8YQkmdR6aTDMux
zG8GWKT0OCaPH7axq0Muq/Bi84ylqnmC0zJjwbFZoczwSRVNae9UjIvH80lFYJaoafar+y5q+H+J
/gIbOES/K7ihmb3SRvHmnH2OXvxqgocR9X8spNubLe0BP2h3vfBs3oQ/0MnG4LuzXXWPsiyNwz28
sW7QJ7WIoaivFXINfKDsIanhZpwOpiG2uDk2OzvcsVbbP9Fgg/6yK8R9nKF+rHa0DUMTmbIqwyMl
EIxwS6BQmFCVOvXEjrWNzn6qRLfe+lovLH+aRJSP+7hmkNqQKMxtcBP4YDl7kNYjztikdjT83rU2
7uxQrzASNdEKeVuBVgt7Gdu6fBCGTIopHuwseirDYM2XJbM2rjGx0Jl5BtaP6/VjM9gNN9MkhU7b
DzGDQa+5aYc2hpsXYIJBrUYgJtzsRwBeGq/lbmrjGPBjEC1qkzjBmKHGV0x4bG2w+PPK4HnF6wbD
d4Kt5p5j7FBXMu8+W7IsvSrbbLJD/PpAerB48sKElHCcNeliCSWen8S0DKyhBHONMr1s13bl36Sj
ph6bCd8lVA6yMa20uuR9NJtFWPYkbwZE/Am5RSMn3hINEdPeanU981mxFCYKIoMRs3JF3iX0zcTY
zfwmQxXT7Rr7xMSlUigDwAAMzELKgJQTnjpvCXh+Y2YRHRRPkb1gO+PAglKyd+mR8fYlHdgI2wbv
FFXDyoVnC7TCAEVVZOTAqTAO56zXnWkZ1gkW1QOM3socsuM4SZbjEqASi+sNpkHEBx2hzPpuEbrH
jZsQRaO1kyM6Ivuo7dt+s9aOSbEEo1P9XEcoel5/n4wQ9c3DmUmo2/hYgj+R8T7NihlQ7lSgG0YH
CPm7nUzmJtl7YkoQn5MLN4/4XEW0V5quoRFNni2eUltnIRu7QByPxRMBMeQJfl/WdT6bf9Ne67Jw
13wxrXzKCBPuBwsaFx7hrEp374a9wfGSiaaC/WkhnEODOUr80EYB0IbI4OSE3d0Ql0icomxh6+Ar
prtQVES9IC1KOwd97r5HTu4cNJ3Ck71VU/eMAaS0Lvu0tjwjsxe6CBx1ufwKEAT9yDJs2upPSoi1
p5JGiPBxRip9frciK87Y3apGxtSuP3co2KKs6XdbidA9DuDwNSN100vsMQ1tBQ3QK7fiWIXKOSJu
IHlHPUF+wVKh4BRWPUYM6VIqk9Kv/UwLwQs1CjKbrqcN/wXI6+R9CJAf9FKaHV4JwD6uHJ0gKxdz
/wnrNEnHizHjJKugZlbzuu5iOgICERlnpWkPBiBBIXykgBfC7g4KxVAAViRo6z3W8lnLwQc49zwA
CEDXB26nvdU0Ilq0UtMR7SDsdJD/BN3s9DDDq/QUOu64k62Y18skboQ42rOdIV7ZLTYCKPg+rfk2
owNq3XYg2byP0yDxEz6KLtSd3MetWJZ749k1XqOE01jvPcsb1k/oKnkgz/sg6D+uoUJuFixUEOLd
FdH4WJeNUEhD7DDhrDC7ykf8Y1b0ret2E8M9Q5857NdBRk92XUQNAuQdwhCwaEYtQXD5LuZgU9i1
4cZxB38UxzFpJI3WqRR+FRyT2kI5Jrax1yiPCA6T1mZ/oYDtjkiEtFE5Ocw7/FGvwT5w8eNIb3qH
myluv2ffQkO5sN/PKW2XYTMjZMGx1NVu3fkfZ/qvnbfrkrlPFPkUNqDlSavQJxtLxMyG6Rdtck3k
UEGgHHt3UeZYiQkkbG4ZmfQR4UPFdsi8wES42hcmw8wtlGqTQ4EwCk0Tbqybo8tVphYpqZ9JxdED
CqrglKHPkzrrUYchn3mY/NZkf/idmcohpBDmarWnalByE6LXwQM8voZLsWnMoZmfWiPTz26SPmHS
HwYy+wjx4845eo5PFky7wmTRsZ47YlkR5ebQSCzEijnD0aIRe2U3weqeYs+pSIlQfHeJKUjBgsTe
kJdAuISiUvcmINb0psPDDCqT1GTWaPh3ByQUzcmJLJkZTvS0wfjuKQTJvn5Qni/5tzaJkZCkMGth
zW4GiGVc/xAXJk6WtDX4FaewY66oSbrB7h9p5pp8NYZNu35yxqkPnmY6TO0hcIqwuYJSqzgWx64z
uVTThSZlgW1intHYNsFov0zWoFEkg/VKf3PDecgkEwAX7PR1E9MN4/ETw7VJkV4H0AG2spxS308w
z255jmUrzAw1iHFgRGXfTSweZIfWTtyiIlRTdFQTzAna8JwrXME0WCjAnn48iVWyhTYM71Yy0rDJ
+MQW+FLtITTVaAR6SYjMUswFecB7v14YDFU9jfPzt9fIgWnbnyj/pvE+ksnCHbtFY/OOpgFkD2g2
zGzn7HadC5pkX1QZ+kV5yrogrWeGDn6g7teQoRtCjmtnxuF9Dz86u+gEAv82ByXYSeS+HW0K+SiQ
LBaGiIG9bPNZ9OG4w4OSLCV1EpPNq7bDWe0kunRQ0e06ZijCXAVJKLgevcJ2Ao/n9mZapkqSTDS8
PLNFJCbvjOCR3OIXEuWZRM2uKI1zCXAQf6VkygFaSiesyLPTb6drplTKoTm1ANaCret2ZIH4lJl8
cwzMekwgTpNZC55A8QIHs+EH/rv5bbKSfr2dqyjkuLQzrsvZZlloUkNgRalJ5t3OXO237VGO4PHu
q2luean9QOCrr5g7qfSrwtodMCum0WXIrkZ1lmWaa3KC4uD1nlm7VePEzXUNHVONu7QaGJOe+YDa
JamdW827nVBg47uatecWhOGD06zA6LHYxdBg1fs0jPP+UfXQOOvNUE4dkn3Ulp575c32WDabxHdY
Z7VwTBFYdPDR7oW9mBcyeLQj6bxPvOdR+6u+dKFl6UsA2XpRx8XB/OtRZTb+FdvkW+YzpEKZ6WAb
9dwt/WcYafvvFXG0NjGJwZKmguqrSaUZUKbULGgaWZa1PLtqkuutQNwcN8ysyyhHVNang3WKgs6d
7oO1cuGhW7PN8wf1Zopu+vcmC+sX2xT5zGhMIp92LesjGRKj6TbWQExQmI0sfN7yXvmg3RjNtyAL
SUKIAastqXkvZNg18BSoH1hOgc/XAzZIVhMqO2JycEL6eAFi2IQLS/8EnB2Uoy4j8qhvW69RlUmt
KqtGqwCHP6T9JIpzCqo+1MvZ9I9wsnq1/MJ4dm7eCagMDd5VKQ1goGsxyo0BKNLQbHGq5bS7DgCQ
krzquUiPSdYs0x3Cj+twEU2LXZ0i4L3YqU6h5ZEfuMuoCJ1I2bZ8TOwh9hYfC9mYTNRpHKL4dv5W
NS4lrmTZhSwUFm7XJPxTsB3oXDnVPk6VqQK/FRZVspqLbtcF3eotu0wzARkjpJjOnooKFjpFEhjj
7Zw1Da80tydz6bjEcRKijjcl47i3lsYrr8OO5gi/uGpWFKRhE7BGXqPF3KwccLJAmyAfVrBKmduU
j267mApdf4scMeZnPMPaLs2q/H3X6L/oGUEiiPHEhGTN+OtNzyhaGKXiFTY/Lclo6kyVWdhz7iwP
mnC8GZhH8Up//5Vvu2q0qSLKU2hhnu1EJE6/tql01zSRGIET+8Fs8GTflkYVWaaz+69+lWFPMPYy
EDbDLfj1q9CA61ZFd+Ip9yC9k3kGHqOby4VgTez6/Xe9dgP/c45i2m9QGGzXZ5Digkx+26YchM08
AMD60+LWE4XMlNXo2mz90cvYhhljRM7CNWgJGlPj+YDRJ1XJqNp2o0PdTRfCYK1iSl4Te75F5u9o
rAYEgkmRQpTA8ivQzzM//f7y//ZWGOqaCRsjZcpxR5h//6nJuvRJPTJs8B9HbCa4Dg4oUxZyuFJC
/f6r/rbmXBrDMeA0sGmOF73td5NG5U5DAvUI5dad9CnRSGZ/stfQbJEgSTFm+YebewvqgnVhh4GD
XznTBOdvBJMeqm+U0r9/RKbFxKhxYbPdTjmR/X3qwErXuyQm3yeZ0PwMQCAU/TuiXe3/A47j7WMG
xwnbmCat8NhuCBb++phnBAsU0unuV3oSlI46A+/zHDFcJwL+a0/ZASbC3QKm4dtojr1pXpckhpFr
I9yJ0kEInberTGmeF1RqJ6yETNb4+y98A7IKHTTKvhEwfTCHtI9+vTUI2CvBRPdYcoJcA7wM95Iw
R1DUvNekBz4D+jtPdRZvw9IHMvVPc5S/PVxgR04MWAA4BCYGrvPrFVAlZpXdhc1XzAd02uxB163l
nq5HFhfHb2mLQhCeMy/wPBO/vzfFLX80La8ahArnwvzt4dTQYnhGtP41u7j1YpdqYa2ihiNhKOc2
GnaROwIG3+TYaxCtw9k3h6XSUwuZPksEGx8MARgphFdDzAGebTDxSM+ja9MU+4hk3hkhACqJ0XFb
Wia3GgD2Eyys3gmpYoybJO8MZDe5TThA2eUs7vqOywq/NegHUnuiZlk6JmkqovE143NskywnRV0Q
ScQA4YX2WFr0dCYdtaCpeZnhT1H+A1bg7bYm7kHUCHyEoQEM/G1pT1QWmSVW/aXNpEvOmnajKYHi
dTQZwPeW9e+XnNktP4dcE2rj1xlNBDo5fIszY1Cm4UZG85c4hWDn7qc8DsprwIBOad2IQXAFG4Sc
QWkdFjsxSaFV1eZqfn8Zf0dJMM/Gfg+EoQ2H/G+nqOvQdyiXufwLqT6BaO8cF0/0VDU1OoNl7iD8
cx2mBLqN9YT0Ml5qmNDh6/MPl/ErUvt1rA77GXCfC3IVUuGb4MJcYqiHNaz+SmCATbvXsTFu6Vl1
lVfBeBDI691L2L8HjcvZvouT5UuGlkrHNHv9Jxrwm+Pw28UYSi6zTYfJ5lvE7lpPs2qXsvgrDUXw
QQb28B5bNIRoSaMuQe9MN1Mlx3PnNfVFtbg2ggOoCm7Q7V5u8zCLACQ3s7rKrcl9ATkv/U0k8/LD
PzyyX1eQuUqIeS7UPAfMNIffm0emMBGsY+lNf5FjyvQj29VHV9vx9GYahLpxAlVSwQ1rEO2i3m9f
MmTEys2a4CFxRJ1o+OTHVXolwrn86KCkQT0CVuXQFygNizVFB9iTNFe+veh/s23vdffXf/zvxz/r
vMGBHCjl8/izUL2NjuRP73f3OD7+r2/anTePNX/4//qcDfUr0eL1T34QLQQymx6YAiPYBzfdkD+/
ES0s24aJCw0X9ReSUpTtOTt+sG1D2Lb8Fd3dV817h2v4wbaFaeHghsHHmRE1lg//9//8Asgd3vz8
C27f+TVN8QU5EdeFgiaZGJf3NoOsZTgMSxnMVwiJ0f0GRDzTcaHJ6getwMBYRQ6GXjKkH3Usnbqq
xeeRPNQG84rqx71TQ0jHsoZE2EELpOi7uYCihCFj9CGn+wuFbzsVDWXKtpsXrzl47gyvHDqbPhXW
PFOMgCp1anXRT4RJNWzWEVHn7rqpdIE3pcoBjqJi31z5SbGcgb0ocVHkgb7WXpLcM8DtzuR1KHy3
6jjj1ZhuxRLvYr/orgrTbarBXNobH1Ht+yzIIS3lGfQwrLiNbzWBKN7PDIFnyFSrkT2qguX9Wir/
UXQOyBJQmuo6Fxn1spMZDBUwYdTeYkThqyOmMNWRzmEV7fy4zS+COpXhTUzBzUxTC4iHltXymZ0e
j2NfqgkwMMdoVnvlqQO7eijWPqSApnmOIYxXJIvRolPvHEQUvzBmobsZ0LA+gq8cd9kwALdJO+3A
YEz1Sj5QM73ypXoYe09/StaWhkafSgymKLAWANC9z416iZicB1or2JL5dnUcnKDfe3aJn03aSbR7
7B6Fp9bukCIK5z3O8Sg35OXsXwRMTz7FBdahoMfi4UgaJ8dDNvQCYSSW+g6RNS3uZFDuHahm9dEd
Ue0KWn8hISlGPLOGorDgEdcqpBPlIWKMfAF43UDVJ9liCQjzZooOzjzPCKQW7bZOHcXg2xkFDzrF
y3JrypuXMMkFOvM2ZDWf3XgwJNa9aDz9WKMX6+BtX/vHqV26D3aDVSod6OqBIbox+ARVve0Ygp4q
hSLszunDd3Wte7CDHEY9M0O57cjfWDT2Yqs9SDh50CpdsH3u43fI7nSwR3tjBu6l+PslS7hp3bpk
PuD6aEJmE6TTwsLdPCkc9EzCekeuknxlN/Tgn+l+PoESsaFND6MqMZiTzn1S5dPF3NchQtEAP/GP
SoYPkaeeBbO4ndIkZtg/ajS0K51fMNV0661GRyjepkFkX9UBwGWkgaIvhrx9ZDYfoN3NWWrv0IZP
0WKCrLEbEnnvM7K6keDOn6qxTnaTTPWnCdj6KVkhQG4tC53+TWetjNU6a3in26W5kX5RQIFuiyLf
MHJGxghzQhpuSfsxSOXIHCZuLpo4Tz+PEHxxmxyT6n3pdc6WOVqHzk1NqzZiHYYJYl6+V4o72uLT
VjN8iA9t4zn0VX1a6Jcdcp0M+cbuXV8n8WEIRPUXNtb6Al55u10yiXDbouMNCl/PBdPNnasROceF
i6FyFcckx84jPZLPftX726ZMAYTGygn7cidB8aVIonYy66bgdsakGyW0TekHk+7/fSr+j4SpUREh
EfwN+7AvmUc/Dr+epOZvfohQxH8ghBBA+4k9KrhXW5fvx2Ls/QEkEqcBh3IVPllMyfXjWAz+YM5C
1wgBFrDBaN/+57HoolmNJEscGVEHo9n7r5yLkJ5+SfNNmcz/ID3QYvF9rvRNZWm8sFjWE/6QVYQb
lG8xY2xGdVyTbDljvIcTvdXStG7nWf/ptwOKgaVnzC1QXnmPG6ggmeusxyqsxHUJeopueeLeB2ys
lBMhaHbp4IU3WaWG97pQ+T1Dm+pY0sq/qKkrvrZdEsE2RBUXhMF+1IN8okwrTpALUbmCPoRP3DB1
67PoSgywsDOj3F1K5wOVZnmOm6q5TEK3Ok4uoq7L2Fy3vgNsA7v2nVXUGWJUw3zR5DUSrUjP4B9h
peG5llOH4Wi1vMNwBIWxKoqv9JAqLLyCxbmjjR/fALcQ17bOxTXgZUsxQXDlgfqkOjJdSR/sOI9v
bKu8tZdguk4c+34VmklewES0kV6MMQK94xegvtlmrjVyCjZYvm0P7es2Zgi6sY1cJbDwBaUyIuXR
r0T358wZfXB7F/hRjhIpYrTlR+kVgdwslVccEVQrTvEwjrvZm2t8f7UNk8OZPrdRnrwbp2y+G9t8
fWaqox+afnLvkIjUJ1cX/U3gFssdgLx8C40pP8jEny7FEsinGsOVHRCc8NCpSh1Du+Q20mXZYJRY
nVSDa7EsvelPK3Y3ee+DCIoxfm0QADZTmSlnal2KttkNfnJdl50x3LIu8JUod6lskUYAHXaUUvkv
aYxm5oDc2eUYYC4QiDi5wHquvqU7tXK6ocJ/pp2RWHsXEshlB1TjU6rz+Esogxp/AnyXEeKdP3RI
mN/HiZdfr5BDrucB0eENegL552T0sJOYRPXBa70O59mIcffMPPnkLxUKmWXlundoJeXXaeqtB2aW
KJIhmAD7IO9sDjKcBcidXXUV0Hy+jXvWClyAINkWq1c9T8vS3SRBUJ30MrmXAW2fY90F+ZcpCvMH
ie0nQ63Ov6tBGZwWjFlumDe4l87sI181tem70WuH+2J14+1SD9VFbU0XXZPMOHo2fnTjyM75gulr
cC1Tr7zIIWWdCqST602NzzGY+Mx/V3XzpZPhw6ZQ4D1ZYtyDfR4fabwJBBuXEou6LgkfpTv/5UvM
zwDEKZybaLW1wGgOoCujnQ4b55Prlc96dtHKtlLP+RJGzX2rXGAsQ6cxzG3EXZsFKJ2imWqdfYvu
KclgJG4yBXMG45RAPg5JX9yGaSlBFrhu/JwnUXbE3wQz8zWvPka5qKEbA3ITNGUui5SXOLsu6eOE
zQkT+fpD6A7jE+W26jdjad8z/LzgBAvO7SyPNLIZhwXG1jyvivKOrkj13k+qU6Dn8Rwka3PhlTXC
it1UbiaC5RcMsPOL0K/xmMzx+qHgXTZJsxTvuwGC9bqgx+mWgP/XTJdmGFU+gGxYPoZwRO46BzU/
Xijw7T4rnR0ldXdr9cthrgJ5KXtGEts4PvhjUR+TYRbXdOGro6zuFNr4D5bpxZSBa98VInVPDfiv
YVvN1LiNUP2zO2quBGTVLJbw2NrzslcVItAkX270MIbgjDZ4D1fINYe6Zdym03fr0JZHC79icirt
h9teITuJJsuMOC4G21OzAh5f22mKdlikfEwxDSpQIIY3U5EbE+bgbmzirheXZL/dNSrneBnZ1kOB
2XeEmyXZUF7F6DgEgLdi0Mjbyso/I7IhLiqaO3vySrlxirLFiSMDjdFm8Z1fR8HFMPhLvVkZ+dzl
o1ViyNRsGXsNj0ERLseCUu9WDKg5GoyCuFGRsXpKatzYnagK9gwX408xp8bN6mXZZ4Rk8qt6VV9p
ZAUnTsR1i/GkukHWE/9j0PZXQ4HXNJbW8VU9ef3tWCTyugDa8MlK8uqG2qDbG99UDBXadLfiFbT3
B+l+huTmnIKRu+yTqD1kS+H8tYYp6ox+3D16rjSHy7R6Dxmw648AUxC9RVQEEHERp5hdZiXwlxQ7
BDvJbm0brNhMMbxRqVw+iIlH32T+utN67PbD4kSXkUclBk+pzd7BY55ZaCTkqLRC2e4E6s86dacj
EoqjgWV1H6spOeagarHFSdbbUmEF3CkAdzjkiLVg7tp4Gz9dDgE6xTc26sRnHC/Lr7N0yt0Mphog
G8dtzha/HGiXnJjUAAoqZR9/KYMg39XNLB6wzUlORCZg9qOz007g365TYT13INnP3RhZB6CLwzv4
89WF71nJASGd4a7Sc/SRMUFysIUUH3C4FHxdmFhbra3g4FIw3PRaPjXI0z6LdSL8M8haAf0tHg5c
7myjM4mCCfZclz7KvhCEmj7H3Yh5ONAgAyIWOREtF3emeuDsL4r0fvJJRDbFJCu9bdx4vJOprE4t
yu75ZunCkrbQ0NPaC5NIvsR9V16oKkM3DkuYq9xBSBnd8VulmvI0+tMXv/dRMWoHxO6RhJ2eyjH4
Asz2USTTCxiiL1G7vG/sldpgnWEourK+6JtQ74Fy3Tsy7c5dFob3Cu+1TyUNxWcUqJbPzGu/RKoJ
LJZ6Dli+PHeMOsV0xnVHqvFIRS3X4JpUq0mRQnSA/+xz8Kje3pCVrxbHD3fTvEzRrRylBuAdJC9T
rt2Imm3mxaFq4oDJQ6trm7TiOGmyniO+Ie11DlS4/dIRQMm9DIBzSUpEO3VanyOr7HcGOr0jySsv
bYzVz1Ofh1987cuvEI/S4jaBX3eJxKnd30/ZmiXHakWSvcEMe16BFKWjX/yJhcdgffTBafiIReFD
sGmtvGwZXOfurrGEPjJzbw4qGD4jgoP65ZJWO0HtjyKP93mxnPkU5Dhu6XqcbvjN5RBXIekkQvR5
711NsYNslLBazJxTThkrRJCMXORjs2bVPqPve+YEsT5kVp5eoXBko4Rr6xtqWcSpeZvndaRay/L5
0Stjfe5x5QJBYE1Hu1kwvZpMuuWuzrTBHqa/zPML+oRM4HHxbZMR8CNUChQyQO0g6wY62LurV1Rw
C2mlFyt2CxdTkiTnvnby8yjSq8CuKlBpdocKfDDudBrKr5MbgBJafH3MpcoPoHljLP0ExXVeYbOU
eFg/tRl42BEM0BYIf3SaaK3A0XXqoy8S8eJNAFq3HTSYBUcKxkd/4rQSRJ8HMdGcfZ48/Kn9j4n0
DPuQ4USO3OlrafLv1uY/tDaR7KD1/N8XceAvm7+ex/x5+qUj+u3PvtdxSMKYBiUsEGYA9CV/MkoJ
3T+Yz4UCjhNTd4T2aD1+r+M8XIkYxjt0fX4Uaz/am574gxIuQH/Cp/aiMvzXxAQ9U6f957iGL2EQ
GUMnRQYPogo+ob/O53xHU2qCDjzhpmk8Q3L2FaAYRuTjgw7KpwhS7KZrV5xupyXeIl40bJZFl+fI
LrutGKP7SEXlGfxpeb1M1ZWKPPQvrYC0tEerX1gE34LmjJ482iHkH3Q4a7EjWrqwcGR86GKLwiuY
GEDGzl0HmH5HPxEQHqYYe1uGyya1+U42jdoWEJy3gvNlBzXrQVUxBwAmkLJrGVL7xVNgdWJXIQe6
KfFv2NLu7C861T/YaM0yNVRYeDM73NdJ+Akhg/eFaz8pRLT52+6havMXthAyZ22IpUjg3OF2PABT
4X6Cbhn3opcPAYQh4NWIzM0Wt9ekTPGWGmF3ZYXImEYXaQO+BGeUbqsQf07HGjGDonxh9oW5Y8Cj
BIU07ITkQyvFI/AQYeMWeAwiuqhzvLqTnt9SgmuA8E+ulzjDZgJ3diqQOsYUggAayIB/Lb0748CH
uHd0USBjv8njCSkzxyTSmkfQVe6490d7vUvb6i7GXH5fDXxlBW7h0vcklz+7eDFDAti5XVDuGI58
LIeYnBMWxo5o/KIb2Z5gGDhbP9GkECUqsqB90+eksmyeQ3wPm23cu00FSBpaDr1bYPLeGEWgShVl
axEP90mUlKghUg0xJF0P3SrW0xzx9NyBL5398CKyLaw6WSS51NQZnhx2EJrEztbuXa0i8JUivp+p
hLcYtyB/Lfw7lXNRaYFTA5UCvlhg23ZtWi/nMB4dGnZmFY38LmOCmxwzddDBg7MPFdzeIAkWHhML
i446vDD0q1nPL+DCyD6YLGyqOX+CkMi7X/mpSGD3KttqdvMYQTQDEritUeCmM0xR5ITdei3kEG+B
PT28vu86jSDDkBZvx5n7Ba4eGxAYr16SWExBVJ2Fnb6wyVnVxHL0DFidES4QUG34K/qI+mOV8SOo
vyfX5kLYeSRTeMPeTDwuGtH3euXNz5J9EoZzcsYsY73OKEngww0PGEwgbxjyhqOJxRSxG18fRtOx
KWaLX8VV8KlGy3KfiFCe4cz5mF+waPEiSc6aYvJ9PRTdlolasZkRAt26wE4PAPWdfQ9AdIfRBY9U
KK4hzTCSGKzlSIsFaLlMcpTVVmdfhmxKSkXMlrBFpCXBKkNRDUmHpryOHDaqKwgEkeIkJyep9pgZ
vaDMmN+pzL953V4uEP+TsHFRXzyGCBNt+0070Q3ANWHYeaDtzvg4NMeFHMYAetmGJazd13cLaddg
25or3JFMCGEJNJ2MMb7g2byu8jUs1wP4zvhI2VDuNTjaA939ageYvsMihuduVjhb/C5HaPjoalZo
rNjf3hqvp9fXPE6zoVuwjOgtjXtV2MkjfFXr5GfcKlAy0sTJtk5J7BK9/PyJxI1XYJcv1L/ofqAI
txfIP21rcN1bp7GTs+in5irMxXLjL/4xmosnKAZYtoVzc5WUTrknQWKkuQrrlPrs05bO/5UOs/gQ
BiyypnabK2uI+XaIJcTemkYkwcFeKYgX7wiWaSCjWvgwe1Zbb3CxiRiFuwPnOmykM/QXcwAQK2wU
RqR5LRAG9d29hZrYNkxtgtvMq3sFYWO7c5cBKgKt2ODwOhJMwKyqLcKiIB0UlwA/kF0EyP2Esxv/
F1but9jkxIuzf920Kg8UvQTrns/Obv2eJdH73p2jjdpqYmFQSX3OsTOzmOTS0QjPeX9thZeGFM3V
EnjLzRSWL5RZPBrNDnh91kHsl7uy5iPRNo8PXsMUBofUYWeBUdnAswWcXFnJrUM6vwP/VR2jRL7I
kP9cTwU0N8YXaU488awqP9h9/xwhfLNvYD9vWxl+qluv3ZdWdmvN001oFD5cFE7POl/QNLTwxrBR
mNRij1ITqogYcCLut1br19KvakyPyAiCfRzZg7WBxVI8OUW77AxdEoVS4dz7aVntwFB0xTVGBNMZ
aDKv0BVJmmySFOeQfSEYAGRtPt5mqQc+a0PySSsOLC/DNV2OYs9wAJsiyuXO3gYo85+7ZHq0xrb9
E63dZy/HwQc7iqV8iaRrIfQGFnUdUIVZ5tPY9O0hrku4LxB7pbvtip49X3h41qYcRTuAfck1yPXV
OlQuCNWb0gEcwODDG+oTnITReoASprYZ0rnVVZLFLrjVvsJkV+pS5je+gnK7T1FYtN43E+kDvJz7
n1Kx228ZzM+T219BBK95DdoJET5zQBlo45j+9U/YOdwQnNVrewxRc00VsmYvMEkjQlB0DwsMGiFm
iVsv/0fI4a/E6O/f69GpoZw2kLI3+VSsPQeGQDed7Pk12LEH3bz8s8EzmIq0fPn9Xf6K7/n+bcAl
mAXYqN69FZxZ59TyGNpOOEyxQEwmEJc0QlMab7t/FwH/Ex1JUJcRqLr/vgq4fux19dj8+fMo5/sf
/agBkAb3QpZhAGQBYO9PguIhjohgpTAogCROccD7/THKiakOyDYADeGzCA4UXMQPhEP4R0TaDnoS
QUGwS/zTG0jD7yAObxcsGRorFUgQ6wc1stcC4aeN0oip6Gv0BE5Ed39FHdeDarKk+mNtL2qbpr6/
/enx/Bc7823FwReGlDxAkLhy4twbeM+IwMpIwNGnZSn6O1rdahvQNz/+/lve4DZ4qtgvUHSBKMHz
4G8iOaMPVEj62XICjYY9nrPIu7Lt1TYPPeyfrLnaoHA+7zxZWO+HGavF3389QJM3hZUp+oBYwQqK
kHUAyv1rAJomRL+UDkdMoAMMDZY5Ww+IV4gT9KCItk7Wn5diwRtAJyEmal3iJox0upwMcABO+aFF
gyPdtEmkr4fZ6MQS96tNtM4lCAD4rxuoI0yn3MrCqW7p6Hdu/ASdz+0Yaf1CDlm+d4uo3K2Qf06Z
59MeAqR8rgNfPiQk2kd8kJHw6lKbWToES2Ch9FPIt+Riwztxupt+prnuLGq5Hd2JHDMYukd0vRHC
BkyiXzJ8WA6qqdQnbMb1EWKtySkAcPRJjmnS3DoNjRDRfgVO232xU8EfzkseXw3SHP5BkLyPFfpA
OzV0or3gURkDBuBgNmYMIHGOTgpBdSNCk7ivuXOvWwJ4uNAr9eXaXAH/7CuqGafadGHe37WVclNa
jjMiTGMY4aiXrdcrbmwnpDPmHfIK/RnanLwb6jE5rxNt50Da1cVrtmpD/PiEn676JIs1+MDbcfbr
AGancfxqO/1/9s5rOXIj3bqvcl4ACpiEu0UVytEUWWSzSd4g2CQbHgmfAJ7+X6CkM5LmP1LM/dwo
NNNqsgyQ+MzeazOje5+Rf2/whnANqWoGeBrJlwE4AvmCdaUfHEVRCIglwgxT+QyDtPRAwT//hGRI
AlLLX5n1tvvukAd9DVRVHJu4Nx6HYum+Zz3F3SQl0+rS4xPxM7Z3gSip1QOHUo8NFKFlXR1B9AaZ
GAJwzS+1k6zm5djZZKZs3wWPWVhESC7pi8wlPmgTz55KDM37hCDmm6f1VFTpUBwl1fft7NbE1w8Z
lm3iB9sKZQurpbqj4+kXaidXUNIzxs4vMeXqzvGS5pZAGfI88WN85szwWHv1+a4sVir2aMhXhrXj
UwTv/cZvRn6UlVAUlmvpOfGOfaWxBMvXm11r7PNXOy9QJISQJGipfYDMRPxwKY5Iej6xVcy4zUxx
jgXfBMWkF4BSgBytEbK9LeqBzzWP6ze3oGSaVJSh54W/X21lEkUXhxixd9vXl5tKJfM3UwGwJuEv
Z8nR5Dstr3pkKY7xmIpUbQlKX3YEdhTohvgeVw96+HWJFgiYPueWd798Nb7NwjchHDnvhcH1j2Kp
fqHoik4FpGxF2scpSdvyHHs/MRPBKku1EhBiF5XmMensV50I+GfIBMNTjLcgCUwtT/emLsHliuIV
DMD42Qvsw4SVcFECK0HlwRfluFq/Y7xXn9mMiLPfK/s84LJ8rNKufhmQob1i0uFqXduZ1ozkq0U4
81VmafbD5ME3h4TvsQKqlHyLPbdD4cViOsBsmG+/3pyXcBMQxaRdJnwgPUV/ttwQp959rzstv8yy
J+lxjPl8jJ7+ZCoyck+Unh56bLgG+IMp3dtT2r7XBRYMrtp8YKDLbOcZGJJ/nemgEEIHY9Zt75ix
Z373ct/InZeR1IH+PW0H8ZIaxDXGBxaJlTik/aJVIZWVGm7mRkX2SbEFERcrn8mUJkj0mwFEZSPB
N+FPXBkFDQP0HdehrQc92m6G0CzAduNQ3WLwZ5bKFUYdn9/1eqfdY2+8aPZwK8q63HmJa98vrc3Z
6U4WM+P4IbKj25KilzU5NxEe1eQIs/FbZwsjHIpoCAcx/0i9cgjFOHwQ5cjmuorfmW8lx2Rx4qAy
hvpalqMKCzgkGxxf/Qcq4CaM0+5q6ptoV6jWOE0LTk1jbt1N4dox6XJxeisWMd9ofj2CX16ik5N5
Jy2vG2jwTYXM3I+aIyiAgjXdJDaNHttBmeajDMqi+ImtpqdHsCt3P3Rixm1VXWCopSGCJ/8KYkp9
0zmZ2jkJN2yTlcZVOkcs4n2PYfbMF8kySz/qlTbSpwHkp5/zQqk0c1NbHrclrJx9orsMBbRSv1Ig
IQ5DbDxYqzrJoVm+NirfKkKTz/69q5XCZdP42kKwJN8h2Xj9eDDrFDOYoV4rwpGuh86E1mDqwzFW
vrGlLnByHmFOs52j7t2SatjHdswzjwe4txsTHnOJyRwug4l7sWzHCPAKdjs0cgkhizmZl743vXo2
Ew9l5dNVhXxuRVrnLz5pTO7GmZx578NsUUz3GN34todFexQWY2Kruac683ZiAHt1rDlf9e3MIZKg
YagZwCF2lDeC8dmVWqIFwIhuHs2pZqSRJNxVHco4iGSV5Aqce8M+Aeeavi0kNDICI2DD66qDKkAT
avJktM7yRlCHfTTncnmss1rG6Ph86H22jwM5mu/S3Fq2YzQ0J/aUgpChouRyz0cmUzHeCdwi924n
coqD2aCJa1UZ6LW3a7BdhppfLIGyLYxwvpU9u05Moq4+q52IZuQO/qjtmoTc1yEmhMTQeJanujqm
qTUxjBzHbazFpKt6sbEvUq54x5LJ0RunKPRZVtzgFxWEyCntAtfPuzWaZT7NqERZ5X/FgDYOiaCC
7UuCP/Xan3riQoVSRIcWmHC2JbarNaDSONZJibYwTZz2qliTR4fMJYTUtddAUlORTZp8xZQSZKh/
1qhwii3wEWfa6pk+HrGw+OyJtXZPc2+TzzSk6RbHeHYt+rh7L60MfYfRiZHEeqMCxvji4988qARb
X4DmpKNFnwCfrvl9P2RmyE1fqLUuqJv7aerXASu5d6FH7sGVRoojWtHZzVwuvzI54thor/2mk2JD
sDIhmEra6WGqvKjbZKm0zzPW4QOJ2/UPs/a0btPWM2s3bdQRsVAiAVXiOVQYyyGzu+oaSChpM1Xd
f6DFYasYK1PmJL92TFoxz88/q4LRVz1r0QUg+HoP5JQJbgR2dvs1/3GTlCyDpLbPS5pqF03WNW8X
JuRuyFPEibFO7ElJkZdsSdAkG68eljpM1vxWg9CRAKdlc/q1+GpS9EiZMXcfhOJmDDdtMLABUM8C
1/88myFlqPMw5Q1l2VowVqE5MgfMErM4gsuurhEJLwehd2rLcJHDuM2YhpQ14bjbxO54uPulpOOP
fXiwZIWe45JKo7Kd+jZevl6F3zxbGrZLAnma9VBeyvknJqZ1tu1SnvhNY9xxDFYfDKzlCL6H4REC
LI5KQj6xY65jyXmVoiSGRthkqvPdGY3mVRsc2/M+xoNxxUKD9z+MahtjMttLiq2Xuouh5M9r+cs2
5MXtp+JootcIrFgYj145zT+9GaQkYCyEFlnqB0aqOqQzdkR6ODyW4pibfnP/D03EX6CMyN5olUyP
ppFmBofeX60Q9qBZNZt1oE4gIDcokNj9N6U/7+Q8cVWkldpCKXJ/giolshMUyg4o2puX1d8Vycth
SuRmqNkq3g51KW/G1hQvY11XN+nC1lfXS+vVFHky3dRxXY1XbZJ4sJcYlepMFXbpxAdZ8hUeYj+1
z7qBSqKdSuqEovSveXAvu2qy5ivBgnXbNoNiAs83a4pBu4Cecx40251/ll6s2+saRWhM/Lm2HeFQ
byhZHIeBCwftLLUSTQrDyDjnP1qQPVbom0vugK8aaaqW5p7AxfW79NdyKaeQ8kFEBkJPnQdh5XVo
TlF9m1uGh46r4dlv0OqR+TI+YWSO0SDZZvHaWgTZn/oClsc1xJiYDylFbahNKH5CRm6JvsFayWrj
YEEBIrTYRrfdiS1vCOWTjARq8MZCQ+Di+o6POY+SbbSs/0dEIRVt9Y44sQ2ZOYY3IsPwzCtfF90H
Q8+p5hSklmr1BNF+FCW847jyyQrm4odgOFFCuZNB3s9McUUbox/oeri0WaZ9J+vHWUfD9qazNdmS
/snK4SvBxEtE/WPOhnzXpn26H0aeajoxMSiYewq5pHKGpz4tXt2Wun2ZjPrFU4WVbts5HSnm+ez8
XHnpaVn48LnZtUubmdbR4Ia9zy1S5aOcncLGg556hAEt36ZZk29iNngmm4VpMtfk+7QImb+jA/Cu
Z3ABwaBotpyi6r5XJTXkNBnWUZ96+dqvbR+2v1Xh349qIwgvGANIIcPOWGKkFF1GtVi57D3i1L0v
rXZ4+hr+4xSXb3ZHiJYuqGxrg65l21YLd16PiOe7mdHIN01R3/YuLiUkU5N8g6bCtA/zncf/Fr27
kfbCPbJuzQlbMfhDJDPNO5IDPpVVZ9RRlQc2k/5DlXAWwVljGmIqbnX4ThxdX6ste2YrUJRm86xm
AsENRXvb1Yl/HRt1e0qRyF07MR9cy8G1R8Vig2qpxidkPrRVak733tp5Q3ytb8ucvhyVDZ2Zqpaf
ZHHHS5h6S40UB03K5NY/+qGnzdHt+GysW8hSJc4GFhR6bjD191+vehI+wwP4V1wYsli/A5K9j8Z6
q050sjxIcrWtaVJfEf0Mu6kleZZUCTY/SGnpSNemIZ10GqdkEs29XrV8MzLjEfB1BtZVDOGWHnu+
ygGmwT5tFf20xeqKgRbvrnDnqyXGbjKNTDW+LkNzovXl8m70wzRo842I6TQtEizuvzptIIQkcpBX
tnFgz4HKoPsoiCo+FIIHWYE1+XqIHHvz1ZaxGOBjEA0dBYMePvp1gLKk3rzLEV5i8k9+YsCcbxZu
N5QpSFuiQJF8jrWSqYFOntSlqQXCMwoPn/qQR+Eg3emuGQiBT8DYLdBc9eI4LbyjVVlN87xwC0pf
MfqI1pTOGEHOBt6oDEG30EYyMFFhhfgMSlJpn01Cfx940OjojZ2x+95nLZOYReTN82IJBhR2r5r3
OKPT7XQWe2wQ6Jdh5B0B5671uuBYo5OKTl8dsubRWHudW7WbCu7iGmZGk91gHggtg1//1Te7hJPd
TATN0tQm4qjp2qeODpAyxdX4+oqSh1TT6fnu10sTQsGOxUxxrKQRXXSjqK5ZmLO/Y7587fVd8ywN
ZhfI4ZhlDGuNokorOY+CCncD5IrDXTO7D1n48nUCKboFeOJfK5dzVir0bEFiN+27Xq2brTwfjPBL
XodmhhYx455er+emXY/hLpLdFcsRJkF+6lJr5C1/HaAOwC4s8I/JOm1UTbY+BSiMXw2PS0IsQ/cx
NJF8gy4Vn130TSxk1usnFxRenERB4fB2onXq8FVWeD6TqTiv8gtphXTvgsekg5ji8evZwJ6J0HIv
Ts7sSdd+n+HVqNniDI/a5lGhfI91NZ8wuwrz8Wv76ZcsMxxJBSJoQzaJkxmPtWN1aAH5In0Gc8e5
YBu1WOzubJPioVy/A4zk5J52ir09REyKImUQXCbi8WlWlCdwfLxrXRbmo1aSIhhxjj1Lwp5fEqeI
TvSNzuZrFAOBWhw9BLonAgHVlmixfNtxmrA01rp8R/AoV4iciIHsKTJLbuw90VtMnyTO6M2sj/K1
MDUGg4pZHeRISrSegsUCWbA1GepBwl8vnq9jdnL5NOjY56tWivg73dSMutAs1zqum+j+W2u6a2mW
v9Uu1RJCOFrFkbCCs6tzvCUj91HuWzy1MNNSW7OMrDU9ukyKOYVZTGV6hLPQnFRdMLxZj0oQRetS
2crPi2fmfJUEpI0sMEKr8Xk+YHRhKri0TAUrJK83WEaNR6txh0/C7ad9z0tHOJ9z46Y+xV9dyPpH
V7aUHE23FEdQaBSPxHCdTTzo42jzqS2uZh1NL+FWgdqj6Dx1qlDU4c9UJZlg2z4ThkR0sU/dgsCE
ZTTUNAThlBNSRhZYqRGJ2MAXPnv5Qogdo8yv//l1YwLH4xEDx699txXP1JqHyrFasNBOpjbvyiRL
95I4DiCeojnFrs0hQ5RDfBa1u9hkX6Ts552FShhZ727q8p+DWKQTJh2Nw9eAzu3qV2HSEaiWsdmM
Qnnc1iYGRBo43rE6ukWmDoMnXhbIVNtlnYD3NLIh6gF+WS4H79RHvfxVJ/Yn8+QfV25YK/+sJVpH
3q6JoMi1oTugaPrLyFtasqyzpj+IlOHwBpuzfYbkZqKDQaMwC442XP912Mf6hAJcos7vbOuwUBzE
xEBdNCSVJ2T08xX8keZ5GIQ4j6k5feNIWHZ/X1sb7E/qPwqf1hfrGas1G1MMNpu/vFhgBbk7alZ3
0FJLD8auch7An9o43bLkrIFXpLxeC1FjpCnKexaFOqOMU07N85bV62p9PYX//kV9qa3+/KIAJaDF
Wl+UK/5tNxIPXMm4x7oDOCX2rjBiIvbAQ3O9KG3cg7JKtnTvSzhbFrOJaGDIltV8u26ydnJizC+Z
4qKyCofTILLlB1kI7r2HlTHklKUw1FrZBE2Pk+7vX/n/p1NZQe3rtw/owfrSuf1x39qaMO9i1N2H
WDObU+Qzt2FyT/XYZE17X6zD18XCJjFyJr52M0+RSlX0hUNv/7Z7+a9e8R/0ipih/9Z0tv0s3tRb
+/nHTeWvf+ePi0pf0GwKsPu/KhJ/M525NjpGFo4eOVQAJf68qORyRcgIpB01o7UqHH9fVBKXDLgG
S5pjg29fd5j/waISdM+/3bJM9eBx6gYhYKxR/7JbzzPkW8biN4fZmZNnXL9VvXVqC3fwRJziZnLb
st/VzXxXSECTG1LIN+wifZCwOgD/Ma2Qx1mLwfprKImJqXKHh4auPqfe0VYhUoblAA9VEfd3Feij
AMv1q9C4VC18oTvGFizrLD2mCfadOeBDpBRGPvbw6/qGmfNtkVHuobpC4uYCcRYr8KM9OQYPmEGi
Q9LcAtxe0jYB2vD2agJDCZPTwk002dle8eJMYiic+sjCKzoCN+4vlR+LE66118xttOe0KJHKNJUT
iGaq9gik45DmneRPr6vPy8QxVU7d/ejFH7aW8yYhiQawMO+RJeQ738+T7WxbWpAhVNzDffxZY4BS
ge73YAh1VJ52TedvNj2Y2oXfnozmvWNNepC6/U3PmjAYTPRQhvcYjcONAW0zSKbqQTWLcT2hV8FL
Uo2B6an1HwDr5/JaePUzICOgqkY/nZB6vaIFPK4WhWD1VeVz/tqsQ1tXygdI3csLkXL6lvVRsiVG
adgNOvozcFwbLsHHyYrCyKWHySNnfQksLW1+tN9M1h76on62ck3bYSYmXbPziyfJXP7JmCzkW6tI
sYkjiwk0OjKWVw0Q4vJnt9R3ukPbFwnt1MPYepNAlB9rbOqQcSIKC0YwoaL+uisUyGFv8bDo9s15
BgT3LHLv0elSuZcT1bnRzcjAo9xlG+MbB79xvBD7+7diqbUmwNr/LRZRfBJEAbqoqdY8Zz8a3jUd
AsjGbXTrnmrWui3TJjG2Cgg6OsqkWcIiIXZeM6aQqLI22ZrSunRFjyvYi4iJtmgLo3Uenq0TiQT6
zAbwb+Pv269pRVwbBlqmWZKaZdOGeqMjb01jGq7W8xpAbKvZ31ywaVeidPRXwRvfdqRQb8o0M1Nc
07mUO8NrozawwIJewTe2+6PEsgM2IKND1Sp70fZeS230c/ZddVOYLeikGMgaYrWUgAu0ScxrM+Ph
66Hz34P+Hw564iI4+v5vScrvnI7/kT//hxZ8KH+kb3889H/9+78f+s4vqBOgtUD9+hKoo0H5/dB3
fzEM5Ouc6gBs1nP/X/IU7xecyf7qJjaAxrkOf/SvUx8xCdAnn0QLNCz80X9y6q86iT+XROztBCB5
UxA8QlDgn4vK2ahyqIaTfoC/DgHhJ8njZwr0I1PhtYQ4oEc4EeIbciM9Gzknm9X9Q22zqv7/7SUg
JCOhnvdsrkiRP2nJpO04tccY8yDbWb+NxPPs19fdmDMGoM00SZ7qm2Hr13EF2Si6qes421PlVaEy
XwQy6CVBe6rFN/qiBan0dr0PiNs1bpuVTYAyI0D5t9VGGmS9fl+nFdCrg6EiZip/zZhjrP86C0Ea
+fytW2BYlkSFa+Fs+wchewrBOHeuUeNWc7DoPbo+re0sFpg5YAGreqJJCVquicOEA6xEIyFM6yoe
FASKbLkXfQdFu6BL8rQbbmhmEgS+08NfY5S55+QZmFKuk1jcVY7/Ylha2MXuGz5ChPSZEfiOtRGO
CyvUD/QkCQdZbMep3LRDfpk0ECSNasO8K8Oxr195Xun7tBju4s69Qs3/Y4mHTZ/lm8ZRxZ6xqheo
vi8Cq6rey0no+5zAjGDW1Xsl2JE6Q3dddcqmOas3tdPxyxhf5RaLhCz+Vab038PlHw4Xw4Ss83en
y/5TtvGfD5Tf/s5vJ4qn/7LWaKTD6CbAK7FGUf52onj2Lw4pyCZsbqIUsBfyR78L3jh3fj9BdMKS
XYFGFywYzyTzPzlAOHv+evuulSw/THcA+BCywi/6Y2vim5LlnPSKg+XFL4p1R9B3uQxZtzyDxnlo
8ZShgmuevdJ4BqJh7Ab6boS0p54Zb7hojXm08OIfu8Jf2O6DfvGHvNhzFgCF0Rp8pqPf/pyj0UF9
4qLI9jr9WouL+hWGtn7RiJHbLzxptxYs9E3tpekOqDKr99i9UJV6d2pJKXX6kraX5XS/spstyLdh
p5kYMJVoT3rfrhTYM9Q+ADG96IOsmJiYu8u93UX2VrrK3RizGh7N1M838TxFx4Qo10Boxr1aLHvf
9fF3R5RgSxR3mlsWyU2vpwY6EV6TTrj7HS6bNrRxaN95lstMqHhiEBIMFriauSFeq3THN5LKMadY
7M5anGs/UorTq1yJhXJ2AQBfNGSvsDYLIQW7e1RS3UaJYgqp8z7Ao1vs181om+aOWD0mb+Y4Y5Xt
x1Pm5+WOqofh1sIkjO1FHJJ5CE/frS5l0+36L26bdo7mjBQHrZkOteWrYHKlcfFrs3juR7v+ThW5
K311T6FZXnLgUTDWvHYIMg8n6CYaipu2tmIVmt6obxqmRs/DIlNWHQxRrQ4YrWXBiUUSN7YPiKKj
B1S39hXrpsUNtNIGn9c7DXLmOr1tZaGeCWnrPnzb8Z+m0gJbDNaCQaNkMZCMfhl2CntKM5Cu4yqg
f1VhgVQqzNE+IK2oX9w0c9FuuWPxVOUVlpwi8fe6WRi3gt2GG4D3Z7sS63V77Tbmuu2zWDKlvgmv
KRmQ63VmXdEZRATYL1KvTo22UA83kCsbvO8s6YktLFOsH1JezfSOO5Pt+qtrjhrRiBEsRpAX0VNm
FvLBsyLouGUqH8A4GLeWM8kroZjdAnTIXmvYrHgPDTeNOW0XY1dmIBwwDUx3sz1iSulzHn1DLKaw
S2FKLQrUoMXMh+k3Gkh2g554o7otnuZ01n+0g2sdNcsask0McOwQr1k6bYLOkA+QqPFpXhFSRAM8
jtKuTqj2GXCYGFu3oK/nOzPm0rTRSeQHuxt5880czxc4IrzGEpT/BeK1vCIQ2sk31sz3AKuDH0jz
kTRh0aZVOI/lvJ36kkkr998+JZMLRzveyy1aps4J3KQvnmqjSm9njFofabOMe2Ow6k/ERtNdNJAo
+PXKsohBEDojgx/POsy9j5cE2AjGU/jdUeLdi1X5JrS+JKE9EafKrobHLhNsWJzZoflc33hvlfNl
Huz+mzuV/IfFikqyRw4RWJZyDnW/G/dMdbLXryuNBpPftsQ+uCxjNolKnpQfsmCSZ1Wv0ZRJnA0b
e2mKJ+Erkz2wlhKcWgr3HnWTOMo8mi7GBHigbWmczHgghqYe+VIZt1UnzEF8ayZKBFRKZf/RIy+A
RiCdM7vN+aqJDPMS6Zl3UQ3k3IQrEou1b0evvklTi1M7Sek5J37Q6PEb3RmZRREn2gPJJ8BhnEw+
YNH295L2Jfz6tkpVygcIpJ236fKoIgWnHz1WUHxyM3nq10bTiQgrFN381on58cNKfnYJPsc6wT9S
D9QThK+N2Uiks9ly21XJ7cgUABr+49hALRtt+VqlXrCu/ze+d2P2w1lX8V1CcE9QkPpCIsFPW/lX
8ERZbWpMDEz3MnXWzhqTfe8sT3HbOVtbn7xrx+EHMiekpNECs54JCTQreel5jg0EHki8xanhXESd
fesgvd46I2d4bngxG4ja2hhuJTZpOd/CId+qiZiQSJ6syo3ujF6bzsZkZjtPxjMaJtZte0fm+Lf8
UYQzli1Q/tA7xpFGtvfyJtlqrfFRxdNmbMzPpoKi3DBdu8pYmKBbLUkGNO331ugPlWffw98rNvk4
WGes6tGLFpvP5JqgW5NgGaqu3BGT2MP8qMZQK5EPZYzPWQq0rKFrx5EPA1JrUNTZ8lGO9gZZ3CrP
SLpd3U8PVTbUJ9/N9xYJV+QmLHzBrMF3UzNEQabmnB2Q8c2Z2di6fnPMp7k86p5pHRgBIjbwBraV
VQ6Q1McWHy/Y2aV8aaChBROx29dzrrunlgt/n82OTkcavehG2WzweCGAnaHl1Jc69dzP1GQkI1Sj
v7qOBo4mzx97o8veQBCQVJGNLGyYQW7YAXdB1Pn9ScCDgd2/LJwH1lgcYigr0PAA6W4WbC5+9NCU
3Ucy91GokwV2OyWtYnDP3qJnHWECTwFyP4TLiNZZGs5twZl/z2UFvMSJjDuCTQVNALTfTUli4YGV
VL0VHVigzjDrz44Y0hBT3XEuZR5Ydf02MLnaNh4ZJ5kxPuug3je65Gnvm429x0P0jsPgpUksVjRN
9E0Z9RxYFsIw21I5yC9bu2kFZvC5IlmJ25CJQBU/kxHQbarO2vaIq6/xjMYhRYL3gc5ivLh2anxD
ULHWEIz4NoR5zCcFJZYtjBl5ZMGM2bfMBZYiOlF+dgxfPnu8PCeocu5qgI22ctTGHc90tcs7/m5c
WiEWIP3WjTJ5bwlrwjTUUFmhSA1U3Xq39VijASSh5FWZhnXrwLfZ2FRYQQuBcFtwF3GS9ylL36Sy
m02Ul54fEI8ZX48TwJdTZ0YGkr9uwWXsN8POi5tS55aIn3pn0s6O0Xqb3ELyz5cIRyRqYy0cSSe/
du2W9Y5R4ZciOxKbvVgUj8FpkLcSf/SJ+EXGS41dYuFtoie/SfuLIvIpQwtO0jEy5Uq77WPPPlIp
5HtDl02YTlD9mAxJESbt9LPCI3k2yI//ptpUHSBCNN8doqtYXROBFS9+slGuwocmapBK7kK8CFVY
OY7aSZccYLVhNgcZQTyt2z7bZNEc7STzNl5W0exnUfxACIW4vY3UOXc0/aaNqhYXlmz3jcnAc1B5
tKFmuJlkthOato9N9oiFt7xkbSvrbUYkAILppmUclxsBi5piVwodPW2biz0BVTcTmoR9KzUeAwPT
Mrvoxrslp8ZDadrx5Bq986ya4qHJOnUgCE17wbt4izO7+1QuNI7GmfsdGW3xDrks6mML6lfbotAb
0LQGjBrMYPT0C09QeSa4YEDXOsxBB97vyaqn/aSmGEn68jA7lns7IUljZOVl+7ky9thEAOQYbQjN
Of4kB3hv9TzyRjad4ZhmdKok+ZzS0eiAanbREYPsdRo3FxHZ9hYGSHYkL2e6ijKP3JRtRnDJqnBc
Ln7O6WpcuQNWzDHMVuRhvc9LIg7uARQ3jOKGTsUBb1gAmfQ1LeaREDcIaXOfCMdy46pino4T9e/C
/neY800Wl7kdzl02bievNrPAHvIpg60zDgSVl06am0hORvIaEug5owgcK5Lmgafh96kU98AHx11Z
+cMmFoN6iNxlCY156W7jzJbMsm1xg3jhuVmsNFxq55L6RIdkS8/E1q/MLar47Ex6hP2jm1jQZma1
/DA6o79RpavtUmP8bGP0fMo2xxtvHInc8VxxAouiOP2S7s5XhcmGH6FtTKkSks1ubWfNfYW2vKab
DNmb6uN5k2qtwEYOBAMriRPEGSkZeYPEHC7ptIlqjyzBCNrV1AvEOx52ca2fAkBwV/gyVFAU2Ydr
MioWTQlpzCBEWor3BDvyljBF/zSjCqzCzFiL/nhu+x+6UP0HnPLsWqmqo47vCI9mYXzEaP6gj6ju
g4ZaRtvmY58fF+SNwI7QVF+LtAXWVJTL9wI8502XlO80oCRCSBOmGzMHLPGwjuQ2rZL3pix56mtN
+eGOznpmkRmxI2p73LWkt7xQvjihaVrTpY8AD1EDXaw0s8+4leMuMBjgnnThA5KaF+40wnifHGAy
V2DdEAgUo8cUeu6Lc141qyqLDOofFWKNOIiylAx1I+FRoPsrYoDWUFIHFL73wfCJg2OMbeOSDrH3
HQRB/bJYJQOURML/GSNLaBz5rl9tBl1VjxVFf2gbiweCqZe7joMx9IzliOa7QldKkwXwLb9NGQO9
GJDWkby6rD7sKsFtD+NSMr6XXEIxRUkmvYTGN/X7R3Y8bRyFLAKqxWKgzHNwmTdTqpYxR+PTwyVt
uhFrUFkeXKtPD22jaqB81Wc+gaTq8DrRPnbXeTuU9Fmtd3FKfbyLk77GreQv25xNAsQEBCB2LBme
k5y3zXwvOvHCvtH4RVvXT+QORp93LBwt/i+w8jca8z9NfSxnJbX/3zPlA6vDNP3jFNn49a/8NvQx
bGDNqxeRrFvLJmeJOe5vQx98cL+YAheeYHf3tSL836GPaf4Cl941Gc6s625wJv87BDKYMOto8AFZ
wsz5T0En9p9nuOjrLA85LS8LDwrusa+g3j/YHNF2FUtG5NhD19U1z5ylRL4LMwDd3LLKWWsRt/fQ
T7CxuMh+kiTXLhQXqPiEhmakSJGOFd2EIkuPCrXVHBCKvgY2bMIF1Ok6P4fLEcmqNsr0Lmvx+oII
tK2jTJDnDMLEHA885NrU0D5wRqttSqrAXrKWuyyZtRx8oFrBKlv+rBYNZHQilDhrPIzPU1UAZUu6
Xr2Rtzm/kSw6p9RUfGybJB5pe9u8XXZ0wM3JnhHMQe/N3kgOme+0fAbqQgH4MrdLu2FEnbs0xUv/
ObaxQf9SCNB5unEfJ849HUiaBkQEmd/WqU/+D2P0L8v1vyb5X1+B43gu36qOVZkwoj/P4cqFgAct
6pyHpbX8IwF4dlibU+sEZJfijrbYOjKSNkv/DqqveQ1BkrdWO57EFJ/rdI8JKequa8ujvwzjzRLZ
ya05CIm7Jte+E57XXZI15t1Os+yGhtoA47V28rTU3j5OUGENnSXPntd+6+ETH+xaXQOlMh/NxERB
4X9kDVzLP9wkd7++uz9qYvy/JHCwVkHCzTcBkVxHovhX/n+NnjFm/VyBliyjFwwX010MTvrZMMV0
pxFpciSKtj0SCwFXIqF6DEqy7XYdTxN4OpP+o85XOaVvq+m8btROSmIOjWb+rbFM85NUQeMKzYU6
J4MDfwPS3J3tRU8MY0zcLoxKyHlCvJYX+gG5eLVPtFbb56PlbGfZ9uGil1zTVq+PV/pifSAZvlat
aRx65CMHrB3g/0VkbVMQKeFkoxvVmTLs7PSlqH0yl4RU72mCn77oLfVec14fSYtsDy3wlSBKKEjr
cdiRjDxduCnzWyQ33Exdnh5y60Nnw9gGTtQ63TaHzHPl8UgG1upNwzbFMRVI9/+xdybbbRzbtv2V
O14/PbIuGreDRA0CBEGKhTo5KNLMuq4i4+vvTMp6R6Jt6bjv05A9jkVByCIi9t5rzZXQEpOgXvSY
7oxTFOJCPBVcU1JBkmMeGTUSrEx/mJAC/O5mHCOA2lCrM5lEJiCko5He1LZbT1TxgdwO9RgwSzq7
hTYcLU4qHSU7FJhVHclkOzWgWnzAXvqFmHdx3XYaF5Q0z3VM4O52tOZ3U0klTJqxfTCjtv7ihWl4
ZRKL5qt0yk4/f3Y+rFkWDmaCSDROxJrBPI3IpB9fmNn/GoSDo1witMo3ndcXODJbumhiRITpgEzC
48Oz05TyZdRd6bfMciak5lP0iq1InCobXWndqfWDg4FwmUWZuqkZx4tZKlf3dv4JpC10jaGxMjZz
puQZ9/6qRKHOTAs9cgtNEDJKqV+ESn2wcCa+6vSu6p0BJyxX03owOfGyoJYpNXrVaSurU/QVhDsA
n4kYxAlijLx5f2wRhwH5iZELNzXUEq1iYoxIUX10lbx98BLE3IUia4g9McKIHJNQxHi7iL8Uarqp
y0bJfVA4fbQw+t7emJNk0p66kXvtqgRWr35++T+Ksbj8iFlcR3VBLc+TiPnV/m7LGGvwHCgPg4ve
VAhEOs3RFlNTK7eJ9PgGWqJTZdetcpegpycsTVRehTC/iMTGVWO2F4N3kKZQVgd7F7PoczrYzbTw
OBIxDtea4Im2FV9m7vnu6rhX1v/8CzDK469lI72BNfbh+Slk2jZaxJQBOVi3EokmTnUVhuuaJG3k
ygXrTFCPrBe6zRIDmlJZwSOq4B2q1kEbAQ3y7sFp0qfy2RCOdmWTdrmP9KoP1nXmBneZUyO4joqQ
ivTnf/f3/fg/m8X87EPYQYaEdR/uF6PfDxc/b+JGmqN1KXsLFd7YtsEbT3Pgbpu2ye41iUoyEa24
zkhT2HS5yzfQi8LeuVU87MscRs5IT3KXWWMDJb5W7gih9DbeaKJswKxSIDdt4yvKD3EecxJsGQqN
7RuaDnoqXmx+aYOx36lSugMljRTn3hzTYuOAFAOHgmpZzA3Pru+DBz3Ski30YndPOBBmZXRU66zF
i1NlkXhCDi43zTgEnL2jZiULp3D9TtfF7xoCkGZBQgSCjbbStRVeEkiiZUpibLNtSZ1DJpRW1S4z
6XhhjGh2nAnE2ZxfvcBTwtcmUCKCClL+z57+2V6KRr9QPtEqzxPk2LSNolcVw906gan2xJM3/A5A
d15B5kuT4F3u40IeTSbTMc5dVr4qbvAw6nl6pyIpZVYMa+zRyRMMmTlcxzASu3TUcbXNjUHFpEyM
BO0Mi4bsCXEWe8nPHwQOidzpH54EhGWcGWCXW+/HwQ/HBtZqaE/pUF+oyvFxTCov2OJ9bc5GQUsE
l6aP/pEvAKUyXHMUq55tvZOMgViTVmHe7iKldhDGJNm+jmnRLaZcjVN/UJI4h2lbrBHHzq+r5qhf
JuwAn1j+uy86xf7vPbwIZQmPL3eWbeSWSO45jh0HrAOrHMkzz4FZoN/KjCzI1pmGmWnhkbOzdamc
lpOsnJ0w80/02/HlO1E7Zb6ixxuUQcoNnZBpXLa92r+Sec0SmRbREn1muRWabDfmLOJ0stkEoM73
tRrj7qEVTD2UlKGK0GO58ozpQcPQtTRK2Kn8fSICNRNeCERjPKyJ3mIfBSbyYjjY5htCnfcllsqt
9EiBpeUg642kbVQe8U+ZeCr7NLpnH4jvWyWBcS2r0UCCFOfJA1YkjylHWtvhNuLcQhaHwWqwaAnF
fFU8R7tgPZgPOI0o96qLNk1pc3vZUBiGCyOCVsb8BbhT26cseRm57PghRwSti6DreQ2mSJeB79qt
aS4zgFJ3Ydi1u0A12XWklhhfIgAOE3wIu0oPCuQBjj/edBN2camsJL2YLznS79Dv6hyEHCu76isF
orTQGtP9xINA+58cjwMpihHdRrQej1qJk4TnqZc3yMQD5ilOIi4NZ8steR0eWRGtlG+6nbqEW0pl
hdAmhZNEYxcmaSNHDOAQwVyIVGidGypblFQ8hXHNKXMhwmbZAaGikK0CdRkbMnsD1XahdM5i3+LY
ilOFUG9ah2l+cpw8Ouu5M/psBnQxWm+SN+8v0r96hl9UtiiX9J8CfB4mpqBF+H1p+8fPfCttVRMc
p6E7xDHMKUDOd6WtpvGfHKpLOGdf8xaoGLvof/+fCfRHo3Z18b6baB5mEcQf8oYZ4enxRsx7HPrT
WSv9DwRSaDN+WB4B6aiaCUGIisHkvPdB3RD0oxZbbOOnPn8N24xl7hclzI8VjAUZ6McPoE3w/TGo
EQaYRMEHuMguIzfHRP6MfzD28PG9/nyxt7iSP34Z6iSLU5fBkk+qxEd61kSPMrMyUzvCwJjUpKIY
oj2A2NbDG1Jbn3FQh+5LBBWnUzdsUK0iEcBZU1zsVUOtw/yV5dN1cBaDY4D9uKH3r26gPPe/x66K
m+iqb5i/mAfVruQuI407aO5cEBUH21TK4G4iwQfRo7Vvu0Q7J3VJzssEO5yx5JxXu3ANxlAkv9jK
SKj6AHF6CdCtjtLbGiXuQA/ALAanhDYJxmXBQRdPYdHr+0ar4k+TyPpDFtTMNeSA73GdD3Fm5AcH
kvLSErY8wVS1xs9KqaJvVcIc535HxD1GO9O4NhWnkocEUopyOzLrRl5GYDPHAIaBadKJYOMw3G43
/64a/w32SyMKl4fz7/thu+I1fv6Qa/b1Z76poMzfyB9EKmOyCnxdGr6JoNzf6HXjOMEo8x5rxiv7
bdXQfnMs9JbooyySzxBP/f9Vw3B+gyEGo8tmqfHQ2/+jABfT/PBaw/tFucmf5rGy2QTyzg2z76qb
Xm+jWEZC2QWGFEujzrJnK6HeXPSxiqQRn5uOO7edqCrJ8x79NKQytInMPUobh62vIcwEHxoPr06v
5deSof9nT02QGYckbNPr7ZV8KeBoM8aQxefcojWAQku/Zixmo18aGuOIxIWqNU1yOvGotW2kGO4t
GUXZpRH9cK0Oz3nZ0Apro/Qeb1vzVGK6Vnh7Ms7UqVqJZ2TQuSBJS+Ekphikti+FVxiChgYJE6vK
rtMvkZKieTSa2cM26U1Az5/gqFTUgiEwQZTHWS1lIDMPpLm0Gt01V9hVHMOnS4W+MXETY1PjKIzm
UIvoykCx464MvPiIgooM9WOqpOVLRVvxqaROP/XthJHcgGGBYWB8cfOheKLoACOFKh+j45jWN1OV
hM+0nXQkmDr8FoaYQw9F1O6pKUXsjidpifJsGVOJCsrFJ8CZdXQ2mYjTk2vk4sbMDFi6E5jxttxx
sOhDUCW9PxQ9HRVz2ox67JzRTsC/SYwcBFSmId/O3bNtaRVk/6S7JTGqRUrckgo/Tgam8QpnLg2O
Ym91obNMYMweXMJRg51stXo/yCxiNBFanIxiq3auXDXXC79RpuzeyKv+tjfTBha/NspFnw7aY+yk
wWOnVGJXjVa9ItNOuRolozCaNzYR3pMJDyyQVzLU+ocsnarat7y8uRrJpT1ErjtA7PdkAjF0Doxo
M3P2pBbZqqq9IkH769W4szRnOGaKaGYhap8+1++zolYwLgffibRBT8b2M3EooNlHoBK432ojxN7h
FRpktim+RFVqPOgstjeetPg0mnnNLRZ4cpbryDxoeoKpMurLaKsY0EUWE0NUvRvqLQF0JBUTBOHb
hOg9AQFq9oaae7+Pzeg0a1vNQ+J6DAz2K8R83sVLbEwp6PBK4jRCwz5HZlykzEIRAy488sFeTDLi
QXpFqAJCFS6pRw/TxyBd3HEfU8b9bXR2RNIeW22K9g4VmLfSCD0Bs1YQN2djf17yuJZ3rlGr12HT
wdxVav67VobmsR7MHk8qFr0TLvsyZgPLecsfBWSfOQQkRPzM5RHwKBBzkN/AP0roKV2HA36YEvvS
lp5Qs6tCVUXBLohiDgzu2I/wvyQez4kNcdpHVpRs69E+a26Ch850JLI6MAsTXbJb4FHOsGoBhT8F
gTdhDAiGbOn0ptf6aaWXfpG31m3fWwzlpljr/NmQgQogVk9mlYurDlzCBmafRRh3i5wFNwnCb5TY
hFbzKPK+XIJWoOaKUcl8EsFo5Fd236kEzpAunXlLs5K9emvKFolaRmxTYWGFqJXt2Df3ZkYQkpK6
gLGwuY47oxn2Q1jYR5AqzSbvyHfJRCY3VZ9PN+zwOq3brIbobYU7cFnZzdgYzSUbE+GbaYLI0/Cy
FZt2vuS8ucgD4DNaHZ1AZC96yLR02OKrIdlT1/EnGUq96Z2gXnmx/mQHEeaKRNknib7oCSJa0E0H
NsSxwxfooe4jGEC7oG1KX+OyrDmgttexaj55fRUu0Xt6kJsG5ZhILdiG82o99epDoXUV+Fhm8un0
2rTDoZNcw6BTD4R/d5Oveam6VtvokzAQ92RJee86k7PL3eoFiUS2YhZ/UWkAMpzN7kOjubbHJDl3
dfHIfF0sYATAWlXXuVrewp8hfkg4nT+qE3SiMR2WOqhAIndE5W6diFnvZBfQIoa2RuoY2cc61tp9
Y7QHsloIOfTcYaMbg7nUWpCxSNYdldFfGu0JVzJjvl4lnwifaI+eGM21PTLM4DE62NztKzVsdBjH
fXFR8cZuFKtQ5mYhT9NUytPUBEnA80OD2o2t6qaeJu9iyAZrVBh32U2qiPHa9ppXp4zUfRqH2kGS
R7tS2tHN/coSZHUS4Amaz+Xxu6OFHy4ZiHHoExYYNvJ+EaqH0ykDFrOYBq35JFNU7jjMW+Qq8Y0F
UpdXIo186vH2lDcpYnmCQ2+HLAhuLD1A6N/T/rRKdWKmOhy8QB2XOJyj50wEz1Gr1jd65YxnXXji
ECP1v9ixV9z2Y5n7nWHvW8KPGDzz6CSK+mC1Ub2wFH6JEhFA2udvqqfOyyiIVnOp3H2JznfNUMhb
4wnI3uw2KE5Ut20vmQV0Jt2NBqLYiTVGuUq62CHYK8rrC3rVbFk7RXogdNeAEK9XG0+00YuZZbxb
XtlCS0/7Cw9hRraHmp0TK7AWdmE7q9iW7VLT1LODqmjZ4Xzf5dIwzplreEuln6pra9Q+W0Njr2rS
0m5zD7mE1Tn6Q1ea9bodAcHzZEQpcr1BnakYTkF8k95Qbhv2BhhHfFAG29tb7Tghf4vFzu7YIkUq
7Z0CiFj7Otz6t7r+RXWtMdbjZPmTc3I5Pn9fWv/xA38ckj31N81yHE7bP5yQPZv0Qx0/MQBBIK7v
o+lvJ2RjjjgkWBxbgTcfkP9zQqauxlMw9whpaWFJYqD9T+pq44NvgJod+gbW1rn9OLvaP7SgyaTp
BgB67l6tc3FQkrYiAUHH1WJY6WteDHKHMsTEyJcRqMmaGqQng5D1pyQBqoDAvVXOGkHb4SKqpuFs
Gl1wn0pe70MdC/ESdXESEq8GMd8PCtZ/vxYSzRSeylUgMud+wkp606NYBwsLnD7YR4mbvQ7DZF0N
de/eRyi8moXMGkryjibDtCxKfDfM4XaRZ8a7wRqyVcKIrOed8ywa/LlhvyLjJUhUdXZhlslTAmLh
oYtr8wI2updLEELBW2dIKJbKcEyzGbE4MWp7gtFWP+NdHB5EWOe+PrXRGxLuCjVUaKFFb4RzrmxU
70sxGS1veiiO0mm0EdCkOb05uQJ5sUjQ+jhDHp4GRccCCvAA0RDUJBLMSsO8YmydJr7KggF0Z+yj
Z4mlapsRtLtC8xk9kQeB2BUaobtpHctwwInZ2e2kRdE1J4adVRKWt43HLNygs3P3OMqGjUrurbGU
eW7f5hEBcxtZRJlDOFqkEyZACCL4kpRTzrIwS+910lSYJ4w9HdWPsqE/sA9Q+gdpve+DFC58q9lQ
gcoSSV0tvMPc3mSjZitDs1O5J5PzOhv/4PQX0Lb1NqTZuE0VtaUKoWcB9YQuJUQTu7qtM/LocN8p
fqkLLo6XIb9VqiK71pzAAQIDiOaaDkKJBMxyhscMH+zC7gnXOKARAnMUyUkI9nPH49hpB90yRLBG
xEfRXBdR3/jkBdU0tW34keYoIlIT4rbbk0SHN9OORHh2u+oNhu/Ub9VO1jFofKN8gzCYmdhPJAmx
wJC6l6Lh2LFl8JLdB71IdkwJ6xUDsMQghNAenivCs8/22AzLsios4hiNhph4ozbWWkkO9ELE2ngt
uzZM7msV8flwIxV4RdlKwxPTbeDpxhdgStE51wm4zF65u3Te6S01MdeW7nqktFfMoaYSK4Pt5MEp
bGtvmWulvtDMbngarZGpz6Tpn0KXz0C5uUwyeWu2IlyN0IYAn2jaUGyDQpuFxQHJwbyh/kDbcD91
JpScnJxBhSm8z0TcRyIxLpxCaxamB+O/VSvweoBP10mUzjEM4CzQbs8BzAYg2lQ76J2nHUtVw0JQ
mhekX1si/KwrWZkBzeVGRZRYTFsIwlz3OQoSlqY5BcvCbXgCTTBJJ8UqJ3vZtj1e4wacJra8bq/n
Tb6KEw5ghvDGq97AJDTWOXNQq++7RQmM4mC3db/Xkz6/YJM0CXgobWtjJ0V3Ubz2Rka8mGmZvCEy
+4SwhPRuN33Fp2suExuWUxkn7Z0Cg+3EIMXx2wInYSws7RaKHquWm3M+81oTW5/NkZbsiQgtd+j6
g44ieejTs2EW9x6MI/gsvNhKaWyTLrwQ/xgh7dcSn75ZARNRHawF9SeTO2nnPmHq89UuxzsG39FS
HSZv55SmXOmZPWxcPdEvdkW8B8sToRxmY5HNaOYrm+GQWIRm2x8tzqmrGnj21ZRb8sHITJMJFT20
KOXcIaqI2qjvnDt6LMSBjtC3WaRa1hSOKayVdEsVEuhESZMjDeW1mvL20iBOznJgbYQq7G5LtCrb
XvEQGmqKJ1ZhS6peAGLF7wriKUfm4n4Yp/XpnbYDd8A9pI3+jMoIx1SIUlCQXbhAg9CtCG3HZWBw
UW5GCugVxLiCkjHMuNo6nLkGio9HCmY8sYm4xoCCNhad8JloFVcxYszrhCSI10FlOktQHdlu6M5X
KpHvy8R0eiIf3PyRasQ9Rx3qIODPRfeYuNZat3rlZKWiuNYIZV9OWaje6Z6evbWT2T05WmjeOjAE
boBUh6tJq9V1Vpn9cQAju0tUs8UaQWdjhT0vY9GN4v42No1y70at8Wy0PNIwSEZA5nVxdLWqReVn
adfEPKY+kNuet2qcbkMtnz2nihafMMlxMqdYu2qtLNiqkZX4Q9Kmy9J0WTIzIGdem2xjBnnIlnoA
3ikWEqxsRrjEVkCrJOgiuVezKlrntIxOsZ4Fn6JCjhFKAav9zPEvxoyiDPGVPqTtFpV4jfxTE1/y
rk99hqvyzhgMeLZB4jSIT+MuXEBp+FSjAboi4G6EslKi7wVjnPC81dHFsnvtlr6uvpZlUmHFqymT
kDdHD1Vdtcj7bbRcbTnHb8yrPTu6eI4INr3DUYaaC0GOWI2jkTLVMSVWr77bW0130/XogqnPDY2Q
LbW258PtRAmTqo8TvsFiW4KyiB/QVcx+mA7SMTtRqrrJtSwBMiwKo89XvTaTco1BYHBShXx1u8Fe
BelEGczoHFgpQK0B4fUM342mfjOq+d0oGJgSXh/iPaStw63Mln1RZDfG3EkCHbzvAa4ta7uJ/X/7
yP9VH5mOJgPrvz8fH/6cA/71R76dkM3fLBz4ZLOhXzQ9XeOU+k1Xqb7HxOkcd+nmIi7jgPrtlIxL
/puZFn+/BzR/FlICPEKG+U9OxTShP4xoPLRIKogfjVgKsrU/QljqoHOzJBT2IdcroFw6Ll9Mj9rI
y+H3rVKB1XAY5dIVSkltDU5lMbEFN5ZKThcoKp7K26ysVSXft61tNGKloFowSRwNeKLpmw5g/pwa
YsYpjQAkOeu8GXJzPHVqGjP4n3SH0wEzHLsL111L2NvVYNbtSxqON6jMncDXdAVaYGQ76wyAAU7e
OpzpWNOt4koGwpI8SCTYHnFRJNV6eiI3utbg2C0Esyc/aVWKSAfgSrvNatBLZzSL6W1TB95Tm0mD
qp1NV+MlAyN7sMFx0FCevEfFsM2Sj5hsuRLISeJNRTsfZd1U5CsMLe51CrXlqaZVu1S8cvwcDyY7
DjXtuuxJbYibqJm74rpgbzcigo+6UsGEIHMgZn0WfbZbq37UW4N2sVbG3kvpuS+ZmE6u2jCkIip5
2vFLcBx627iOrVjdzjPIVZfMsdH0Jfk9hlff9AkMOV+dJnXZjfiYFhzCPQIg+pIl0QwYtY2aNWyR
YeVEJ/XtPVN78rabadxI6Uw3XqtPezbGuSMNmktZBCzYW7QV8SvPg3WTgPg3VkOpK9dRXrgbYdlo
WUqh0dbtirtIOhzB3b48s8U6/iBCpvEmY66jaQ36g4L6FCtErRvX4OdmpgLH5dxxnN0QaxIFnzUN
y7gnAEnTAROgftFJ4gvE2oCdsyXrHEYEghD5WZnyau3GmbIhIFaC7dOJgs91BxK/Vt1KdQpOvVKX
V6US9vnGlMp0LXppDxqmtcHsGPovvv2Tvp85REfF0hEO+6RTv5tcBvjqzT4BHDwWe3p7Y1YunS6o
E29NF4LGikYm8mIAZT3KFeIbTX35d0X9b1ZUxvA2Nf/fr6iXqHz9/X9w438M5fn6g3+sqwRzajp8
AjAE3qw7V1nn/lhX+U+uZ5pIjgAHuM530znWW12jWfG+jn6lYH2b6fPHMa/WmKZpwLH+Qd8BCcCP
KyxTRKhcIE/4O/D3Qrj342SubsK+yT2v3CqkNSwSSkg4vXoXr0IXN3OsW48jfjGmHlXMuIXkytBS
duronPSyz1KfjNqZE2jmN96QF2fqxnso1UzksOcn69JEOyrhSu8aDUOoiatnnSAoXQAdPVVzhxZ+
6zkRY/PsGfkRLMfRUMZN0MEb7xrLw2CWw98YejIhmvgN8VJ8yrmOPm4jPOAFeDmVhXZBL5QCUpWH
0lPPttYSdteMzyXuLvw/DQd7wtSbLn5rCWlfAiVB2V26J8cQmzEmZIDC/81Li+PIjIVw4Qj2Sb82
9fTYT/JsJtNBDfldTaIwlIufpwp8VVnLFwtdUDZoL6VjP9ZTS1wmsRXEGxkPJGhs48a1F6NKBG/Z
BjhaFAj2nfGYDtmzo+KAVsPxgswVMZR27nIEx2aavSVVocAY75K1kU3l0six8kNuwHU2DnehMV7c
QtiYgO1w12Teyxik3kaLzG3IrI+4mXInOWn66AW4MNijTCve61FPbGgq7uxouowVaeIGSYYie27q
5Jk8v5MTAQFjjMdkji80miSTdtPZzLhXk9Gta6+qFwoKcGnirxVdREmrM93USy4U0TWExHHMxDSq
Rqs49TqfAW556KqYzLUZcWpG+TO+WbBfKGjhEuMQmz+rgi+zUmp5Hlv13OnjhtjnA85l8q4H9VA5
OMyGNHozMn6bpcXHNBUHnZuzdUsPqPC7YNuc7mXQgQzu7AxWgYEVq+WDsDJRnnmmvGqsZF9O8r4x
a5SjlrgjzZOeUTH6BRvgMiiZug842jNdvLilPAzY/f0kauJTWjuPoIq/uLVx7Y0xqXagOia920qr
b7a1GO5kbW3juOp4UI1tmHOPFNVlStQRJt738mCXU8R5nPsJ1cjAsMyTIPDMLWo9h6DWqvdk4L54
xogPGh0vGdUZHZrhrm76O1NkbznjbV+1y27Z5+LOCDAYpDGktEwvvZW0lYiheEyY7XzdtcI+MVB7
xCmVgDy3TpVlOmuG1dQG3JtI0PoaDZshaTM3B3gc4XudKl2pPicBDnQniYAiKMGAA5HHLhMh3YTa
tHzS5YZt7UzDvi6tYYfIzt2JQVGu02jKVrWs8utCqaa1Sv9qn0d16+tKZrx0GhXS0NhXmptWxAiK
kq7fkqEH6CEvJ+4EEvT4HDiIrBdhRS2+Scy6wDwQ3Odf0wtNQiXBEZPgGQUgKtLPDYmYfioYDEX4
6nEiLqtuala1KaCXNbZtY84XTbh353hE26lPGXmJxRycOCrmfTlHKbaIe1dDbz2LYmpeigK5dKEk
0SpD4s/wieRh6dmQQfJ+iQh5NskjvwkJ8sQjpr+UGjV8W+cU8gA9bKFra0YR3DdGPIte8hjCK1BR
SpruNTaNfkOxykgmdR7ngOJer8ddMDRvytgcTDvdf7fp/IXz48M5mVXcQ7mM/ItX37HQYP+4iseJ
bfbJmJZbc5jNLX3dEWslTkzOca5o9uLnnzarvL4Tyb5/mseGRsdaxWb18VTumWNf2ODHwW8OkPy0
dI8PkT6fwYL+80/60UiFgQXkl4Eang9T9Vmq8uP3Gh2CcpKASE/A1M9ewGo4L8cJBYBPpxoxAv+m
rn/+mR868V8/02XnByyK0sv5cC1Do/Ail7EUYW5WtLLa4a4UvNhkQW1HBWHF/H3pFx2altXt5x/9
3uX/cGUNYIwWkhzN0pw/GXgoLGSCgmyLWNtYJijLzxNg8Hm5OCRlkm5VT7yM4ILW6TiAshla3ls0
KItm9vYC+AoLeSAHk10Xz5Hn5fh0+wbv6ngYbZZv19YJNAVxgdjsWNjNOreGi8jDe9WKiCYV5ql3
M8Wf08E2llVWT6EFXsR0WR5+/k3/4hGi+IJJz/RLtfR3O8R3giA9i0nngFq2jfR2bZbqWfXkOZeo
3H/xOfPc5OMVNXEPcrRi7AOG58cnCLS6C4lsflY97GetEOdJi82VmrEIF7YHE8NNjx2to5tsmM6E
0+Y3wOBJ65ThWz2wLs9HFcxzxEHoAu9TGwDt7u8Uzz4xst9ELss9GEuw0bjaNrXQxWNo6URZhDqc
iXiKD73atJciFfeimcEnemzuOyKdVgiT4N4U8VsQW/aiSImrbYRbboSSvAWlvHfDfk0rm827MrbR
ZG0jpAl+CDMFeoM4pA7keSYKZ2cClKnr/Nmeq3xurHTyHZgrv7iQf7HC4JGgOQC2AXfHn8I/HaWs
TcUotnIkhovjhGBlg2pgL5TR2P78pnHC/tM9Y+5mcrfAQDA5+fGeNUimnMyciq2VDhezjfcQK36x
YL6/SR+eC4feB1I1fvXQWf34GXFUpx0pXrS/vIGg31jovhnIl3mlJ69k2nRk61GLbYl2PY2BF62c
ItsrInhok+SLaw8FXoqhgWWXGNsBPx2waVanasqPGnnb0h6NlRPE6TYzmOEkIDMWvSrbKxT2K1zZ
n1xALwu7JQ7LnFCaoyodkRcZHb2CuqKoo/1NAa1vUDB0eHbiN6vgEazj9DjgikmtcEK+jvFwYuhF
F53k59lMPajdpSz0aGUa8vCLe/IXbyz3wsN0zzpM/0f/8YIVOuwVCKvFVmPqQ3BeHvsxrU5YfSnf
OeIKxBy3ltnknnJCdnwEIyoN0fy6S3iWg7RYKXYBADSQ46KztXLZR+rjmDAvcyFT0H+1T0EPowor
4CmiU4I6jpWoAl6+dJLpXtXHF9nOaNj4VhicDj3wM+jBxAauPqgnLlMFLGtjZOPGq8ZLSDt1kTQ8
nyYOojkugemgYiZLAoa8jW7Je69qhl8gtf/iJWHPmP+HiY7q7cM1GsPaybqR8c/oFkuOOGIBjGvj
mWq/CKrwF3dE+xMGm93RZRdmWcO55P7pnaxNYzJ08mK2jd4WK81uy6UbJHvs+VtP4/4QA0CPeqJA
Ql5JvyfhBBhmRzvlAAghGFlc4VV+nA8IgWzJsCLDo1hM7pc21a5gKl1nXt76kcdpHzSOsTQq8q4S
SSTPdMA+wGbMYxYa6XMwzqdUUrMTqR6xOy1pjeg+x1U4jAkISm7pe3kpTYG7E2On7zXp3lZgQiXV
OKxJi+4WGc2ynXDF+b0ICkCfL8cuLfdFP97FHYWkOytbZE2pZ8nxrgHsjs7LI9d8uEOhca6VeM+Q
uMZZgaOzSKfl/C8KOVtIxuYHsuqHtWaSUz2/Rq2wToDs7uxwLiCwTvA+VQqDVk5LapAcRU2clVPx
uyHWPiIC4xWj43LFYOil6brl2HOBkyw+xgY1iyc4ipuZ+ZhEw2U0TJBcpbUdihw0VbKX+Ty0DnmB
wU3uKYo3ecDOEmO5xEAj7+2xO2aa9Tlqae+kmnUi42Bp0AbDujUSA9WQKVs3JY5V65R15qPexL/a
j9+5hB/WQ846uJ5Uy+aJ+hj+lE1GUuOMy7etM70U7XBpVfa9gUISnEmCCDF9fi+1SwaQ687jpPf+
zhdRt0bZORLyx4/VubFMuyJZecQNuohunWXWhbWPILhYeaKfttmcQj7EKTClEGVVXWThS61k3rFq
PMIDQvbFThJxU/B396VjnHSFNQbw7/1gcNxSGwPdqhr3vgg7ZkYuJ+uQwpD9MKLvCQiFY7aT9Hfd
wAra6N2lcSlJPWh8oFAuptXDosjAU8SEQCzrUR7yaLxLAmw8uUZ+ILPRFxtI87qpuotDdbBNY/s0
sIlQZPZ3oOrO82m+c77tr/9qen6h6dE557JM/n2H7YgouOyb+Htdzx8/9E387v0GuwEC6KzdoR/2
rbXmgZHHzvmhrab+BtYdSoTOWIHFc/7w/wwvsM2DC+U34JbBY/NPWmtIQH48xrBPOiBJVdy8CPMN
Zio/7piNBs2nx8S4l8DcamaABMhhcE8CfYI0YA5PKm0D5vFWeYmraZbBecqidnOV9BGvT1YgENXb
pEvltGJ6n15HLvDaha1AlvecZiO82Nh3BYBGrB3oLixXYMsrSUPA5paOdG9Qxx6GbCzRKNJ+XJR6
dlVFTXqeR9ObXPWiTYD6Y0Pjyew4WCrEPxBatpFx1OxSxEpH1OXBUsoW0KDRT11DlBJBY6Qij59T
8HZIV50gZFzbAw1UaI4QZBhcOCeadOOUUex69UuayvLZSTP3/9g7k+W4kTbLvkvvUYbJMSx6E3ME
50GkqA2MpCTMgLvDMT59H0T9Vf1bVbd11742aWmWKYmKANy/4d5z75bSS64lLuwBn63gOATTAY1G
8DAmU5Ryf8UVQhhMjWdnTvwTO27re2y1+hvKPIZ400RnBBX6TzqxbEWzIZ1HqKP9mj+jKRP98VKU
MEPouQsoSV7h/ilsiFyFQANLAozHGGtOg/sUsONNJxfruwmQLW8whrv3GMGb85yrn0M8KXIt3IC6
Ihp+ZNKYlzg2U70h+1p/kZyb/tRWWTKbFD4amQACIkg77Ip91JwJdwmxBtu5PmcoB0JOPkd/Kkae
/db1x3eIIS4fclN9sRA2p3jJDVdSnn8vdl/d5rZ+sJZUXEpt5EUny3JDCvOwbUTYHcIp6lwmHRh7
GaX1rub7TMufcU4htOFT6vndaqs7sLWpbmZkPVvd1gF/0SkuIMAl/S3WLYscSDs7TiqpXtvGz95L
k2fldmwkoKyZtm9PZHfh7KxEAPrJXK+EYsezd1aabT3K6QXYVWsD70GPnhyy1clbpbMNehUQIl5K
D7uiQCX7F6sBagMJDB8tWNUhZC6y5jEP0FX4ag5v4XAuO4EeaOOiKbuTxirAlXjOvAWFBZGn9edw
5jyW6Rs8Ksq4GOTnl0J/i6JYimA1IPF/Sbs+LXLBQTCAWIKG2zj3Sy3ipzSZgZ9F1h5fPyFKbHIC
Le7zKh6+MTeXZ5vN2nYsLCvbDV1PyjJG35tlMUF3KGLT/IjbIvlJpnJqXRLlKq60JnR+Kwa6PST/
EckV+/tkP8yl82HiKmm2aaP6J6dv1C9gvVQ4cnQ+S02TuB1mMz93yF2jE/mBmLm4lNpTjq4NUZk3
wacFLAZrMnG8N2+wsxtlZ/4XUZms9ByIMBAo9VKdGFNHBDPY4V0pYOOfJ27ZVzRhFMMz7uo1dwys
4k6mXUvWcFN/ijSLf2js5ZY9ruEVmGCcPpj/CKlniK6O0zYYyJMGh0DfOdtKFzBRmqrRHyb0KVDI
IZVnaMaGJGwcIxtD+XCLlM0we9NPTsdig5YkMnsSkNQqZPP3USWXLauvYLMM6GomwHM7P4uhFo6G
PJsW7p2wySNgt1lEfA5+cWz7nhON+V64JY3YPg6Vnz/DjRVQo+xyYoFpEn/vh9r+cMuM2afPYTq4
NvKTuAHqcQyNrM5IN9Q9kw1wxnHrrfd+7q/gX9zEZLWiTVNM30cOs6Q/J+mELT6yRvlrCGepT74V
dSdlx4wqhT13D36nre9WhFiF4WoOj7OakceXFCab1ipivWGbMhysKFO/AnbRfxRi/o/Zb5w7r8uB
25qxgyTuCUaD2xgx40M2x0m5I9aBIUs2gkt2LYpgx5YvaYnSk5Dq8UavQoga0/MOtNbFX0USwyqX
iFfhxLBKKIpVTNE6vjpO6CvSRvTHbpVc5Ff1BZmFKDGA8DRbprZomVehxnLVbAyrfKNdhRz2VdNR
rfKOiXA2pB4+HDmEH74eZf5OfiWKEFCoDfKQaC4DxCLZv0pH+quOJJkSSKS4Sx6cYkwOqK01VK3K
fg6cMH3kWJyOZB0t5yEd34TfNM+KHLzn3ukSRPJ5kbyNIAqIXdURw9ewGS9r9O5b1AQ4dbqR1yrK
ZfNo91P9SBuK+DqtkdTlpX8fp/Qi7bC4+0LolGOb22471TNEYDfuDyoKVYGCva7RmdrmZx+U1gF+
SQb+kuUVrzrghw27d+D1Dj/+MrEGBvZAK6QZ3r74kQ7OBXKV17S3IvTraED/eOuqtrlubUG0tbfz
usqNcWi8ANJE1cpf/FuuK99x1gLwHEqkaV0Il9fd8AIj+ZQ60KQLf3Y3k2P6vTKEepfXzXK/LplB
B7AmztlLo6d8VBWGKrEupJPrbnp2SnK3FsJZgsK9w+yeYlpZV9nzutRO1/X2+nm+6nXlHReLPnFc
hEf25Uzor7tx1x3FEyjx7Dfq4fyUTxakZq0myZ9jmxmzOmt2t9R0qXMcn4d1Ca+TlkzIdTHP+8SO
vlnX9d51cw+YkC3+cl3oX3f7/brmH68b/25d/q8DJPJ+EQQUqvIf+lUksITxdO64GNkKuuM9IWnf
9ioqYE+HvkCsUoN8FR3YrLPIhkeI0Fw1CflVn5BdtQo40MR2NTgf8qEoH5NV1IDmAauCcYIPd5U8
uKv4wWTroTleNRHLOIplDzvCbV8aVBO524CTG7IokzfqqqsAs+pCuqvH+CNfhRcCVZh6DK56DA94
LMmAQVCSaFygWLt1A2jIR/mvYg50WSg7uPj55AkAmhFtpNgBPdIiiUgJDzImpiCDEZLQlKyUcLct
boyuuvrUGytjdOaJ/NNlkERqnkvs416Pi07x4iLeXAKmSNM0mGOblsBtLjyyLh0z9JHA6j5VsnxQ
9k7vZWk138UwuW+x6cNXR6XyolT+qppw3teeqs9IzuQ27Aeoke30HFQL4ur+L5Fpn4UJPsJ+7L+8
tqOC8AE2bzrRf4QxXU8QRtWjcoii8Wvrli/H3USa7NmmNOqvtwjGX0aqstyMyougEPR5dYIvbZ48
CAjztscQrTa0dGn6GgUMoOvFXZ6yhXoHpQngZmtzbQn+u3v6f3RPKKzWSez/vXu6+dOY/ruc/7l7
+scv+rfuyfkX6PboCOLVxPBP7VMU/wubpFUGFsZhtFL2/l3x5cUIENwYqIBNVInrrCkI/7uJwqWB
bgtLMV3W+qv+C/oE5z+NgmEgoJgQrIGgU/2nPYEXsMCMFmKMBociaeuBTXkanXRBg0OmVK7C+DLY
X8XabMhr3wE/Mgb3OpiTDuvh6ClHHfG+sQz/p4/x/7BxE+5/2hPRhbKpQeoWgOa3/6OneerELEo3
Cs4hcQDtQ4xQ+CFawG/ihEoE85Ee1Djnsc+wIWG9i9vSkkO3rRF0J7+jpnGeOvIolN7LOazDd2Kb
0vs5UyOXMcKhjzrLTKD31UAEKWJhK9pVAgrUA6bFqLN2fmCs6ASAd9n5dtmYbOdUo0+91PphqX9Q
8aZIOy1Yb9tYVOqZyPhq3qEUxSyH7Ta+EFbgrPbkYj/p+BX1WQZcOh4j73Fxgp4CWBI3r1U9bDhN
K6zaY6G+6rm2Idx6sEIHX8tiy9WFVSCiInUOQ+Jm1cXANS85pmeYLiRb+08QR0FtpuOh0ckbWQDW
UeeLvqi0cI5973XfuZ3pBzK2p11QdDdO2l5kG3SvYZNPj04MeDfsenMDJ2y4TNZg7fJwQRFWUYXc
rzPQ2ybNDhaEQzqW3mmfLT/+sL2i21h517a7payyn8CcZLixezHeWXhin5aeUgVGztztx3yYbtNw
ebH7tHrQc5+T8Ea1Tz0SOOkhKi3/S3c1TbfMOobtAnVt7xFo/Wyz3X4m6c3b1klUP4phCWHQedop
75Bdd96PItUYuUHqPSyL2iPEd5FTVOPrbNuEgsFcOk+BFMeqqpuDDA2dmKODftthsVjZTc6JBDK5
DxfmAt5iK8T9sj3jkxi3HPXBE5+6uomCUh8KeIyXlKH0JXaC6JI5dpXuksaufsJI617bEGG+Gh0Y
sGVvyRfV5cu917jTLe1G+BuBSXDwE6P2eMMBPDIs3lbs7/du3poAst7gHxY1UnbLUmafJY/9hvHk
tDU8aZsFVdqzHQ7jPRXWcCPGrt9TwsdHn/TIvbEWViVj7vEXMh5wuVrjfl9cwp3zjEcasHdyIDi3
Y9yn/OCn4DfZWlOF1i+ibRAs8D6Rm2TcwfP8x4Umf6eIN9hF00TdLn1gAYbB9gdKQZiTCWbPM8SM
Qu/a0aMDXMyaMYtCkPoyFF0XbVxVh+4WtXyFSQWqz65Kq3TdxSTWq5iYehJjUplzjMv7JpaiFdDi
7eo8hIsmFdupslsCkJqbKRv59JDELFt/WL06Q3aoZlcUG/Jf/G962DFgoD7q12WUzW1cxTEf36JK
is4iAbwVJ1sXRghvVxYpf5OihxyOeAK8imEruSJhY+fiGJZtcC6N/hFn4/IVDsu0T8bOP8eEG6zI
DzxQ0rHae07C8QPAc6Q3MoJ9v6nTpXF2JXPOeItqcJw3bafDX00Sxv2OCGXCDFriD4d73PT+GQYU
FN4a+12xcQY0PrdzGxp3Q/jscG7ToBU7hPR4sQqsOQ8CS5Jmipu6Dxjlx6dADw7i9yYbkMw2XfUA
fFECBYgyiMLQsy18A44kNhZPxn3AccDUNa7Whreq3xBqKjjDniGgHhr7HXQZdWsBMe924eosR8zT
voZIPKud0+f+zl496AHPaLzXqzN9WIS+I74ue8zdsfwhVwd7tHrZ07mvd7UccRVcre6iK8vvIoW2
hNdoNcNjHgoeu3yurJ8ktWCXn1bnvHs10YdXQ30qacoO/uqz1wSKXubaGT/SKIOusPrxCY+A+4hF
f7ECS2/S1bdvXy385GT5N1lMREw4DvpFeC1mf4QY2ZPDMvy9Her8OZyn2jl1uksfYe1IuMqzKVnp
Au761QIeo5+Hcy6OeqUMJCtvIGM5CDLbmYY7E9UD8AtnZCg+exHW1JKKFITrSi8QQ8cfR7Lk8Jfz
HRiAlY0HFQbdr8CK+SPS2F5ufc5mxHhecdalO+3VCDWBs2E6FytJYViZCgiwwCsMK2mhxENMNFa7
uqjX3JH4imMoBGQG5wppCGd3BTZ0sBsY/9CsDnRDNwbc4fVrA1mX3dSonbElefwlByfcd1nwXXjY
jcfIR5WgJu8NF748FxT2j7GXOfyp9berVqwEcCvvYbLkLXwcjhxR3aZzlECagM8aMpoIhEV6gFMT
rWk3ci+lX9zPomW4ST/BL1gm9wFyIJCEcQVeiBV94bq9u6szWrNe8w+YPdYvRDTqScPbvvGF8qst
oeYANQRTo2GFbJRESe103U7HtS75qlYYB0+pIJXsyujwr7yOeUV3dO0Ap5HrVN940Yr/EF4G58Pp
ltDf97M1+zuwALF3mDWhKbsJVMBbUBjT7NUKEvGvTJEZbcdqRFpZI8WVO2KuDJIoC0e0/tEKCLhS
SvoVWJKv6BJE+3xd2Se7zuHBAmn2PNvBSzkl4lhc2ScecUkLEQ2Zd9dd6ShINNwHFrSY/E3W/kL6
ZA6mB6gCYYTviwQWOCsW89dfnlA1vycYFncFsmAExO0frpiWSHXObcdxxlu0YlzSK9GFugu6SxUZ
TCsMy8tPDLgfneUQbzI7HkSOIpaXAiZFuOGts7ACQkfJtqD8SUpAcFA/j5lt7tuimJ/8wGHzWw22
tws6B6+fJmccyG73nMaky1EUibtMtBkYGF6x29wNHLHDIo4xHE2jR4BI7cNvWJNdEoxu35AT1FfE
th3fymLFF8zh41pgCpd2pUBjNzuL8Td61MsZGFXYMlfqg1tT24u/Iem4p6O3lhADQlEMzBQWAdqd
c6TY6sYP4DfHhX53i3C2ngbPr/1jz6UPzbVl/23zDBAiyCbqMhSam4ARcKNOpeLz3E1jkiVcrT71
V1t50cs0OT6C09DqVvVTcBPpkoM2iz15jNqgKu4Q/5QTwbMhs48mmt40LOlnYCDhL0UMwbG9jrlL
uMXfvpNYSORC1RxVpzHwAn5iYp45C1eGCrOeuD/G6mBos/oC3DKGbRXKv3Fj+/m2slP7LKOCKX1D
DMem83oCUibIJZ65CaLZxaj6323d/4/s3PPQd/9TP7L7NJ//QKvff9Z//uf/eP0Dbeife7p//Ip/
8/GsvvXY9WKHKUMYEpbz70sxx8bu7sE5tSN0L3Cn2Er9w8fjBf/iI0932aMhSKe/Y6H1j67OFf8S
eVS2kW8j/7kK2P9LXd1/wHOvegXhuwyD1s6JffO1ufon/ZdtLIsgDVY9o3L1+2D5vMHV/B1NGEQX
x1L7DPjwZkL48xyO0V3XyeFnMBTqRbbWi2J4f+lndHFM/QCKEuR1nhMvSCj0igw6qbI++3B9Y4PW
Vic/oizcCOGm3WMTitl78v28dGmDmsoJzwsJLu49cmG7/dFVyu0L+qOl9ThZjZR3kdR2iFF8GBcc
0GU8mJq5Mv5sauIlpe4l4UBr9aOKwHQi+Gjqyrlk8RRArnCT2OzDDH/jIat8V16MT54YqIymhOAN
1RUayB7g5eJcwnZ23/wZuzGSDbSmTD191mJ4VMNZnPu8FYRhlAijitdktqyeHM8QTukuI9nks2iS
6HcaFKxBFrebOrXXtGUDSvFu3SGiIMBQaPgRuiPBpu5NZHvrIieIM+JJHHJ/RkNxfBhsjrI97sMZ
sUVbnOoUBeDU5IblV+OZE0Fs0X60I/ExkwmCfzTNTtCTX3D3S76svrhTxFOdCnd8K9rcOxZmpJys
4/RE+0eqg6rT7B2nOFPsecjPYTTdtb6+yca+f2fQS5pEhc+xnrJ00wwxBVEafMOaG0GCjB8A9VEX
g3QuJ++cTuUb4zFWFLFTXAA0fKV5q/deUvYvGH7g4C1Wfez5SJGsMWMM5YiLPwsP5GcdCZNle5O/
BZULEDo3N0vXIg4q03tMzGSL9uajrbsLR3VzYj9G7mLucT9DS+9mGdxIaTsHjXI9S+t2U7rlm4SQ
R+CM1e7LevgT5FB86mBJHse4DTadjW8pBt3LeZnsyrkvj/7gO/SYw4NbQEYfhmEtXfAO+OOQ3bLB
0HeRAX6OFdnGrUyCYzMtYtNbKf1Mp6KvvHeHI8FY+RcbiOky6XneSyWs51TOPobz9E9CvsuDsMyL
MDmJWfVcHW2JK6vJZX4iijxYwWvBhsg3YW3YIxwMhsAz50J2YF4aH5i6+1uRWTEdyfinFWV9Nhm2
h4SzY4MMh4Bs0uu+4Ci020Ewd01TnRKjV3e7tmXA0DV4VwVlMVNmwBCOBY4ocqdXRzQ2F3f5ZlWA
vpZm3NQd+hxhrHcxJzYE4qm4ZArnh4VB4K/XC/2rX8Jt4SBfKhlvbLpBBcQqzXZ5Ww8lzITA8Mb3
OlI7D2cV3oUAOewQRY6A6B7Z6U4XA7EhM8LyE3PW/pnKfQxfKr+Uj6gE6gbdNoJ/ibKariwn+4id
eLd1qr547YIaS6ztLOkxL1oXKVKqa2JuDX8aD1a5bFA+ffeV8rZ2MgyPVI/Odhh4LIjMg4FGkzr/
VpJDdQ9IaL70Jm+QMrMyio+GR2vaWmSMTVvFT1vSoI3mr6PUmEOPTeQhmPo++zsXHWu2CADZsvFt
Jcd7xmXdRyd4WljO+NlycIbavsmauMbOQuJLpiz3aBNECqQNNQwwrWOYtZwSEzun1iafSngE+mFR
Bi0rlbcnWaY60lmzuY6Wn1Qb8VuYy4mAeeuTV+rdXXKbvSAxprUC6mAp/76w3XJHBVbcEPn3O+ki
vctdmb/VuqCvZqiR36FfGtAm9AtEDKdGn1UnP1TlwsaNGR+SgVG1Fyc2qOi94RbTuHzGpWS9lH4X
frq1IHSijAnVqmPwRH2a8RqPE8EWSdtMhxlg512QzIQNJqbbgQ0zxKFlLfL+vDm0lk2o1PrWrguM
p3oZPNjjAvcnizoWx8NjBQ5tn8/daXRsZtsJmiPukiXaoLZu2GfMHyw9BGr6Ov7WbvcUTn42brrS
G05eZH4Gc4FazratPdSos1850a7sofxujCMN4l3f3xeWsW5IWswOEZmNa9x9vIeSD+EzjdJDQiG2
YUd4n49R+bBY9nA35+zpm7kP0a5N1JZdwatFEuXe+G56xM4yQbZyo21cIDgA6H7EvY3+1DN3cc+p
hWYVcClY/61tpuZsSh/60ajF2iM+9xEDlzICUN36NeGgfRvjYZmO1qzis7aHZNs6k70Jg7j+nmU7
7G3wc9vesSy8XSwkixpv04pF7V7jvIh3NJzzjvYo3nVGnWMLSJ+25N9JhT/qPGwhdoz9we4IHRtn
Uosskhv2WTNlhx4vy8Uq1e+hXO4qdmE3zrSin2k+t5UbNg8Idlm0THyxRLYVByjU9nlBg36yAONu
lFwZdg0y6AhyyAYDLASEkqArEOKcdyr4teC2ZAKzLqFK88tty/IGJHKycWY618RjDCLnwrnlGeiO
Xe4jESjLv31QxYdJLr9SuTbSS8xZVswiuUtah73lUHD0l3H6RWmMm7Uy+hE+RbLNmHrcj340cLnT
5gR2+tE64q+M1R8QjAC6BQXDMPnvte6ZX5WdeqsifqtF+0xp+sn81b2PArLDlOZziG5COpDHVlTF
EzHC8mxH7nI7lJjBxrD81deQnTlMW07tfHiP5pYLw3gvJBwQgZUSbVZMOM76IK++XOIC2cLP7bn3
64AEr3DeAkRsDqgN61t0q+PezAsJi9781WUJ2TTYStia8TOMWUljF6vorbPd5bH0upYPlNRNcLxh
PzV8YJIffwAD+8FrX5o7MzbRqwoFv9az2YP1wHaqiazdKk6f+q4aH4VJio+wCF5EEBBHWqX3vtt2
J6+PUla4WUGwDcGyHGZ55v+g06eHFAyYZhPt/SUJ3K3qwpRvehjn3aKI7suB/zDgad3fAkK62M18
zxtXOu3DQNN2grcRnsJJRL/GsrM/env6LmRiHhbbs4o9bflwKqTxHkQdDJBhiokodVsakg0zNAVM
lmh6heCJsOtnFcUCZIzd2VtOTYsSw5WMD/0OtIX2IkIjuyLlO8W70iKY0MFRSkfwyjTI+0+6Iz1m
22OW382p94Iprt/iMbglwKX42REF+9Wk6lKNGVP8os3SrUq931XQiZcmyN1vJy1IoVh8oA0Ms3t2
HKseapOXWdHvJjFP33YVofho++5lYVZ/Tjg874bMqo5xEzwuzCkT5niIY7gOphMKRzhtQzCEvyH5
1NvM7cKH2Ij8HUWIjzYkFww3xopQG2SWspVLRZxuSHAZM/1nzeAg37L67e4n9h6okJJWbBBf9Olu
0ZGpdwOt/wP8s+qYOro4JOGIuglvz17ycx2NDqwjYqykPiKTzt85zcp3rrj+J0QY+wWsMKCOIszP
thipeBMVXIgZtfB1Ybpg+IQ79C11gdTcDBiuAd9n+oI6nxcCPQ74VbQ9F1cht8nqybnCfNC8DKlN
6kynnwwL/3c7WvrfJPEMpwi85A1zBfPgE9bzo/WELnn/2sLsPBXsylqQZ011hUxcm5pthxAd0gCH
E5bIUb+HLhBLD3F5BW4Lcg7vww2CwrreR0kV/BgTNkE/09IiYnKIJm7WCPEUL6LGcT/rAFqQX/oM
QyHzfQzhGCBlCvuXaoFfAPq/se6qZso/klo0B81uwd/Vy1SdUcrYK3QzjTa+X2Lb72oi/GxEGU8D
/+uJTN/pgp33ZaypjWHs9F9N3bQ7KwvxBZolvdENJWnVDMpsTD3Ur4h4cRrYoXuEN1jeFuyCD7DI
sl2bqmorraVicKWlOIxOMz5VvtAa1RZaI9LYyv1QOP0txN1+47tFc+pDQE+u9JL5mUGybh8w3E8M
YdIJ7ki5JarCpVggaSWeGcT3vevK7jflZk5K6KYM1ei/tCYNyo5jbIaKq7tTEWc1UNpiHjDkT2vs
XFc4e4ANjUbskXGO4s2CrdUF3slkgXhfZ+r9bhlTGZ40eRbOF/rQZGdbgB5vc6ICFTguKAZ4olJQ
Ei4QMpi64cjpY3R7O4CQPfVd7DxPytALgOs8LnBAd4NBAqRGLc+aZ3LXGy+/JZqDbAy3D/+SiuN/
280aXIkKxxTHqZavXRkn+QcW735bE498Z3gfsRMti2CCFUV/2kimp6CvKcEdw0xVod95WwoSzRns
L/4+7tijdW63fNoU1jfjLPFC0x8TWGUfkQH1l8VV5knKXP7MCH54JlBRXBaZj1tyPuROZI4nkWkT
kZqWKPtbO6E6IH3iODHd3WpdtPc+aYg7j5+RAOEB+cQ0xYganGKfctdRnKt5P7kkN/VVeIYXBneL
xv3ZpHl80KXtfgp/8k91qUHQlZxMpCJEmzBvs2OeegP5EiK69XJUdJuyy8avKraGY+X6D95EApYN
PGydM2PNRi8nXXc+ITlQlFJ9eosXNJo2Dl7DPc+NQk8xib2aCWiAFlHBKC1y7LVJnTHS4xpPCPX6
1VHTb9o4rE9WToyUNXKTNGPQRNh0TLe1bIu8osLzDm3i42KOQ+vBkJpL2EV26qeyuptKwK4ibTyG
+aNV7as5y/5ItLp3SUK61U6q9JQQAeGXHQd/z/pzhku5XTSpThrnL5fOOD8RoBTfA5so9wXs4VNJ
ZiS8KZsDk3XkJbedx4jpPYEPxGVuYah+duGKGEY+gYHIUdF9aZGYOtV2uQdZ62+KKvY+rgpeD5Vl
va3zrP6wZPehvLBEqBQdfbavNmLI4bc9cbFGWOGJ+YVP5dB4wuIQZCVOjL+3c4nOswjTYBcsILgZ
shNl2uLjbqafMqKJSMmzWNTvpqh+dgR/8rz1drvvTVOSMuF5RPbY7gbzXnLBgi0+y25KWDUBxaRm
vqZgEDuKWpk7L0Wmd4tuqeFp6cKjgzJ262o/v63StIRm1Nn2rvenPtoP0h7uO0O9XdgDicTr+Aex
qzzHSlUIBwdUVEVk/xkbWrTCFMOp9k2/Gy3lPqFYZCIg9bfJJnMJkQNu2MqGF+ZauyybkS+C5eYC
tvCoogd4WkpSW9JcfdGvUYqBG2QnvhT1uenlUJI/3M3vg0m6DfOeOwCLyRul1GtuKYUG04Q3WeCN
KzuRwrHNzsm4KHL0ekvvmqH/FTsKhsDMPLVw3xqLI68YfP8gAyKCRwA379nk1BtP6WYX20T9EHkr
XkkLAb+7lO5NM2e3udV8GBl2J5iHLzpw/nqcpIeRzTHxx7J5yVr3g81IdfaGxv/NTk7vANB6O2nV
bxOK979S1tZyQCkamA1TD4rvSfYZOqb6OZoNpLWWtfvOyCj5NdiQszfTMCCkjefxWTlk2DCtB793
ZAAxHkSHOY3in3Bvv5rEsUTt9dxwYOG18gTT3mJIwh5lUGaQoPIOBHapLy6r83HJU3aBabLjq5II
VgshH4bAp7B2Sou8z6XMnU3gLlWDHQ5TyL63MwkdGX85/8J/Kpvor5u6z37RcnhEeXZBG1peZsHl
ymj7Oyllr44ww9L9BKiQ9UJRE48wXRZI4LzqDlPwgsCTFUPcu+ssUDYpfvY+3IROMKzvBFVe7ojV
C+Zv087lSAgmPYynou1P4aB+pdFywTtqk8co7XOZWndJ3FHrVGzKChVeJJvSA8CtcB+WQXWRgvGf
itFCN5T6WypTd0vg961Oh6e46H7bdc4Tn8wCJwwgNB+mGoOZ8EzOHknllsmO9C4MEFFxP4yu/452
pLsxCYgsNH4YPysS0zJbkqfdsjeckC7vtOi7c4MRiskFqc92KX5LzIpPvWUzhktGQtPa+VeZElHs
mtk7sK6H4mG8r0QMzssYiRLP7zxqTMLt+Ed04fDC2eeiahd6i/yyv2jFMMoGr8fiwL8D/2kxZ8lz
F8lvWZ7ioLnzTdVt4cz5uObzkZV9yBoOKKOdkZrD/ejES3so81l+dk7bfqwu3XpXWsvyDeMvAe0/
l9ZnG9T6IbQr9OlceKgNMX6forLQt2FJi4T1vWCxk6cXbbHE8ep5/qLO4tVKZf2ZF070wLofpaHJ
+m/Cgf+mrIYlm3WruyjG0E/LBB9R5OHYbGVujz+iSfSPrpv5y/3quWVzE9btkSlonW1i47HRXVEA
oI+ccBeU+bSTbt5AuVxmecgl1iLfTqx7J9di2AouA0hyw+ucih9UCOJFJWl7SAnePfEezHv0hA7N
VfQ2otXYsFB0X1LIcls2cA8RytjPeoISUaAh2Tqh6+a7iibduhldiprbiqjrjTID21MfG8IhDeBw
A2EK+ovfcP5sAmPL4pgmmA0ZElWsHJmFUdPUgbNpaG4o78ZWim0YtPpNS1/dKAXufgPWM7YxpTLj
IyAA3gPnwkfQImG8H3Nhvw78BsEuUv3y3mOVRe8XklrkMaDOcJnP3Z3XS0LOeXrU1pajwaLW5IAo
pdQkQiN2MrpPqZjmEa2ua0go0WathDhlPog2It5ZZxGvdl+Yk4wghiprgrFP9FPUbFIL24MfedOL
6KVh+GSXEoTFbEd8E1b8RuxY+ltkaQFKNUXODV5qnp9n9mIlKtGamGo1zTkFPY33hChpSwlay93g
yb8j5fWeFcHTbFHWL11gX2QZAKST/QjGP1FPUzq471D8m2knfA7sRQvnsVMt5NhKDdFzB++Eilen
7WO1WMO7BS7m4mWKuUwNCvZOz5Z5L6Vl39tgCY+uxDNK89p5TywpQ7bxCe2LBr17g/vA/ZqrvLyY
LhpeXHe1L04YJ0hGBdkJa1BEDdLLLsuwTXYFLyW7zHnXj0wFNx76yuKeCb/hPok1to8CMK84mGAU
fNN1sU+MTovdVHaPpEWD3Q9m6e49xlCvbCDTS4FSbNtU2fy3QjbxkTgdhdoSGMxwDJhw4cag9NMi
V+89IO/DaHHrphAUuexx5dLs/C/2zms7cuTatr9yfgAaEXABnMfMRDoyaYqmzAsGWV0F7wIeX38m
2DJVbKn69n3Wi4ZaamYkkIFAxN5rzZUEImrTQ22MnkDQU1zpcIKeNYouqFs3u65lWbbs7KW4rjCj
PnXgIidW2aTYxQZkNRcWG8tJR1x21tQ3mKC9YxHLKGiHBQFJK+ytVWfMEkNjkfTw7H+iemvwEhvr
R8H+7poEs3Hfd+z+KWcqqjRG/GGO0wEhckQYOr2MbVS3xaXv/K/GIGXA4hQe3djpdqR4yAvmb3TF
KZbppFnjc6V3B2FnQtDtDBhUFc1a8gt3Ngk9TBr45dSb9bnF0XAxtMquPdd/peUqgyEERJF68wsJ
7fHWtDNOBl5KWVGGBbUyPT8biRXuoRTHAYA4KzCY6Id4qNvtgPrglLUVNZsqK1Ei+N6yi62JnGyJ
HKlzsN4aYqG/jyl+y1FhIT2UBB9eZG1/56mKOrCE6LsrHXPIP0xODIAz5mWTOhn53hkWkWtDESzv
0L6hxirZaVTxXmYYg30Y9cTB8b+L8L61pvl2JDBjA9Py2W/NT9bKnXWMMoDGueyolLz4pcaLE9Hw
GMc42rVGLnYlcIC9KTMAGXZxsKP0w+Ih96lsx8F6KRZi75ZboJ4Et6bNx7pt0js36o+hYR7ZWHWH
YbGHLwbpnVvTMj5ZRF3txcIOecLSe6iRI20mr38p4MDdjz1UOYxs80ZUIIUxb3EQjHPjFj/fvA2F
GZ+aUpjXcFB+QwrfXyqz1DT4MdkktMEo9IDJ6Uan30QkPAw1ehedNx//27b+f2lbU/3w4G/8ZzXy
ddXTD3yfZPT7X/1Djuz9DW4kLTiQ69hqUST/s3Xtk4xm07JxlOdKy6R//a/WtQUsDS88Z3kw7hRh
fmhd84E+Kml6zaYvUPT9JSSl9U6QLIEw2CZ+GmfNTFJ/YFMksx57tgX6hHVEebs0NeQHQZ3o4mHC
3FdN6q08ELIdW0OFjyr2NSexMjwbOgnPLbI1CO6Em5K6VR4oF3AIGGROuoOXGY9eTf9MxTRPgkp0
/lYSonArS5KAARnIa/qi+bPNkT+o18RRJBrhpRJ2PO1KU3HYboBKy0jg5eg4AxyRz7gPfdlPf5IU
/A5ywB2wbRTP9O8t7qm1ysJ/zHKiOazRV5MUikJyuoOX7h+Q2vnsMLv1uvjeP0yRf6e0/tlG+zae
b4E5sGGP8qp4Z6M1DSk4S2f1aTTIh52i/BWt3rAmN/+dG/t1+t/oG4zHfI6q8sf87HeG3XUkZZlS
wS91UMRb765sAaGL19XNQe0jWTZRHXEucoyDRxrkw2Dm9oFXS/jhL1+esvEySZfJRNd/5W78oISg
kdaOBaLJUw+gjTLvmsZB6V05u35ySPD966OxaXE9uE02Lo53NzPyvTEpizQ/STE62aXUxbKfXA01
vc/9x1+PJd+xBdf76UOjguJiCd8GZfjzpU1ZlMdFJpJTE085uPEYCfquaQowFVqCwp/j6bZHhX49
Erl6XHJqyUHSuu1fvmZnVa0oqFtYsllUfv4anC7VXPQIHRvsSBwj2rnduVEYPvpuTdrNry/6j3PI
EXIVcXrYvm37PdhIo++2qHSnp1ouy33l6XaH1qX/VhP9FJ/mNgGmoEqfLuivx32HZ+FeA41ypUTf
7eLkEOu69cM0yqJ0TCK3Tk/l2AxIJ/g1R6sfR1r+CFr+0likJfL5ME4Ei6ojxaou+nEsG2+3HGI/
OSXI0HfstClD1ULPV9E8Wk+/Huvdevs2FoQAbqUHdsZ5TzZLiw5pLZLD0zJDHtpViNzOeWINcvfr
cd67OdZrIq3F810WGaar+fM10QJsNaefhBRYZ2DPPCKD3cAgojk8WM5DnCScYCZSrrC/4XsIAwTC
8Z/gY97NnfVaIY6x0EkXHYV4P3fQFGdJg2IDUBx1BsoLDTJ5LJmX0JqLcxV5qLBda/6T9fztFv6I
/mBYkyXIdS0PyLIAe/DTz4nKBlFiSOMl9kLro07d4oxka76pcfgdtFWzhe+MiibZOE+R2oZjPw8n
yqrTb8R7NPprTRLHOQtL0p9W0nKIA/YcLqnxe6bsf1yd/933XFVtkITZHfjiPXYucyzOu8owjsJS
7us897beDk3u8xPl7ugewXXg8ZhTQynEo2N2oZo45xurDMNTn1X2ld/54YnAO+vGN9xW7d0hrtJd
FftqOPx6Nv1x1nqCu4nGzmFH8gdutfBL9Ov5mJwKX8wZcYYeB9Oybbvg1+O8e+qZMR5CvXVxIyiN
B+TdCpsYJjcFcc0JTNJy7yerH59SrXMF2dh5+PVY75fzt8GU8kzejg4Wr9V49uNjP3stBcEpZTmv
dLaLvHDYUcbotzmPCnkFa8485e8r2U/qs1GU0QElbvcnN3aFwzHMz9PVs+hIgfxgU8DXeXfNua4N
kycjPKp+1PNJvUlKOn+y6lPU18s9cGzx6qyx5UnSF7SR6ziN+O+Z9jYuANCrFu7OmcL4fEdMABBI
ziO13jYAXpKtmRUIE+KWABzi1T8suRV+H8gje/bmfLmQfwP4xW+0+6AaOFxm4TlXAwIKyJDFaH5w
wGc8uHEtjp305HVc2oSjizoxHukwLffUQ62e7ls83BZadC85Z8ZXhGrhBZQ5mZLUBcPvhWc49bks
GjIdShJyjuQhoh9MEedSylF63SNUmU1NBF7PS+yH8islWetptN6KB5S1IcgSsP09Hzp73BXdRJG/
pX52iSyebNthaZF6SF77mMW7aiPnO4YozyQNj20jKmLhRdsx8aHPidi1DyOio5Yj3tT+5qneDEpK
n5896lzeB2I3mG88/VG2z6qVE0vxx7j3aCuvVoBefV4Ia6P+4EcXtf5tiz6bBEzHsmEwrdQgleTG
I379+cJ7Jn9umnm8fbu9IUykwCxjcV9bJN6eq0Xl1Ntl5FpnUxTxJYv8Ajv1sqoHEMCyWvVyvtL0
ONXWk5PxpaxAjyJ3ojOyzXO5HFEYce9mx0sIlBcihrKa2B97TdVxawIFubMyFCjkXPA5I1KEi9uR
b0diXPKqhT+Wm1DrOTr4xJmjxHJ4KRCsaD155UDF1DC5t4VlJq95VJh7ST/wBXeEkSNMb3NNpblY
7p0RfwYBunq6E0Mz3SYzrO+dsmXyJXc7libs9M9yFnYeWOs8LCBMnD3AnhSugb8ku4X+AT6/olr2
5ZAzl1TRLZdonFHnhBy95k1H5eSejiJ+x6Vgn9PHLZyElAvAvJRiJd+2TLCA4L36JR4jgUXQY/Y6
mT3d6TCeqmMfc2Kg3GM8umTQrBmc9nyhHpeeMy8P/AV/yaTt6bYy8mbfpZjUYFZWQdOG4GKNSpOS
HtPD93R5hefPBi+WJ/RZW3GRVrmc+0a4R0s54WPUqaCy1xhNt8wuqHmzbRg66rZY1CFLFrD5ZTgd
gAZYnz2SQTc1tQVBkwx1bm/R0J0WvDImFAW31Ht/Io8OZgVIau4qfuhkuE0oU55T6e/jmIAgIp6q
MzZTTIJGD0ME0zeCVC4rzzy9RfWS7+aBup7ZgsfsHPuzxip5Iarzlp49/OnBmnbD7NkI+01r7zTJ
kxu6RTC3tXlFjPSWZoqzrbtyPGR+IbbZArA3XoQLVp6ucOLHH9p4fvVr86XujRZ9GKysmQRneiGD
eYId/KlZw/A21Cjp000eb7W+Nr8Uln1eIJUi0UluYjfB8W67j8MQXlUlKJqOWlIQ2/N0jvOCBdhe
90gof27cxLLoOLfNvQTrdjYGav3L4l7TZp+9emMXqSLmc11EovYbWUn1cZYVFcwyHEJa5JGVniX0
XLkJjUhd907OF6pywGHYlMzliZ6JtZ/GHJoBqC3/qpOyuWWjZMe70V39nhTzn3Q9R084bcaHuXLY
P1RtTS2vRo55yRQlsLDAKG9nnfdbWiT6NAHmOsWNXzAou+gLadofPGccUYAjcLWWvg/W9w/5PnQ6
4y3Mo+Ku7fCyKJ60/ITTlq2AmVWQb2b2Ihn94zIr3XbrCpWwFKE2jWwAQhsV+epYpxx9euYfLaq5
3PuLwKIxDjiRdG0Wt63onlW+NDuJP/TGbhaPSiJRvemuc8E77LHikiyEOm5fppmzEivavav66GOH
3f/K6ilJJyFEorEXpJdSmf9ipRPwUKc0W0CNrJOn0tfxmVgbiqzm6LXHZSiYmCl7B44IuXGfz1oF
xaw/laR+7kXRDZ97m7ZYZ0+EQ7mlNB/RSaqP04ix/iCchCZcTxsgrHr2Y+XUHGvaGDeT0bj3gAdA
5lZVvTW6Rh05QftH0AUmnTzZ62+16XlBjczi3HTWRRW2uPihHlGY+fIa+1PJFqZUZIbm/j2h4iGt
M2BOHP7T2KZMoeWjkRhUHzo0OPyoZK86BLzxEiZmrDQG++uECOdeIa44UeRvUZc35s5zmQI0iElf
DSPnMCoj37skywSk2NpPGVnDd1HXWoSZyvQUpo154Q4mQNGHbTOE8jCgyTkbfnlxKR9sw8I37xCt
OEdMadY16AE4O/XiPIROI3eFN1aHXEB2y5fWe6EcXMKuV812aMfE2npdRc09C521JFuaJBOP2A+i
NoyeSzFZN73wqluxhGz7fQsFTd0aaRnQuaqoK6ZDfsizUn12MpciTtVEV5PheKilQzs/zYY/f+s4
jl/Dn+nvOxsRPdpbHyc4Nmze6UhD9GqocW44sRPCQQIFBwBZnXM5dzxdXX0Z0yK/q12nu/Ug2B6t
hgL0NvEpllPTPAGbhKknQ++qaqbwkvYkYdjRULxmJaa/IEOQ+NGOnGbvumn23XeKJNzWCicxoaXU
ktJcP6u2/lLw0YFuKlxvvrOYeN/CZXgROOnI3DVa4xTVPXtZTwoopTGqOzsls1mGc7IVFSZy2Hro
382vIxSfXdLXaLYQGLRBCZz+guu0elWyHM4Lncud5/MOxDe0HGZ03zv8ot2dFEP7muqMNbvJeWuw
COgs6raDrZrMeepEX6r2q4utxN4IGzXp9xj9KnAYIC882F3JMakzvjduXF4mpzbR1jr9kxGFwyvC
Ne9z1PvUf9dg6Hw3icXDr+UQdYgOjopIeTRcBNrYhP0IBtbwce6IkRJwCneGt0q502Y13K76bnZR
+PTNWe26VfhtgfkmDTCfLL5VNx3tMhUXe0Qtkmcj7wwcmNDI8r53XXaXVdwjXWnQ4qEcP0tNlPUO
gW/FcjYv0YNHK2LeEmfQn6Bo8RqRVIeYl5jJaFEvxiMiN7H3s4rfjZfCwUK2eK6XpP9aczZaTX10
AYyCu6C95EtorlOZipK4xKo2y40y9XR0hRU+z45pvRhmbXw3IRZchx7hsk650Oet+NjJnvwnWSbD
xlwV+OGqxcd55yPETJ7YGIfIrl1BolnzwbWeqe5jxFjF/CGqfqMvoEkj8xee8UHRkENvUi5bUn72
6PPdjV6tAWS+FQhoYsqdKqZHUiIM8DhjkzaFowCa5muWm3G5NVa/Qb86D2Y3OpIAY+57DAkdocMH
zvL2tlndChkJnmvD82y20IJkgqSowNPgRX60dTzT2KmQ6SzSSV7NDraQRRL2yAfHVe8dzBnHTbE6
JBDtTg+NCxHGRJl6Scvhu1HjjmsWTALuMJjnhMJuQAN0Oid6zo++oDxgTgOop1r3hxrhzys8Gh9V
ts1bh43QmRRsO4Bl3+yLsSNasJvS60wCrXUjdvNsuFBITy7ty+l2dIVEzz+5R0c38VYUA/q+pt7l
PVpLk63g3SQB4HZ5SthM137rVsNJbVTLQbrJGuvuAx4zir1eTSrQWRCl4tcjkfyevM+XxLWRPaFv
Fb1/Q/D1uTCaz2OxgOgJz6R+PdU6vLDkUjBaLTGuXr6nTfQM7faDwjNTs5veogp68UVCOE9GkVJ1
/itFqRb50xqeY0jnCTeNBjFlvk6rLSc3Ihb52DzlLmELBBXs077GOK9gIePsKVaLj/nm9nGAqwfR
agNarOXrhDfITXtYCchERzQbc/RRkH2Dtk572RnsxICGDxXw6jGSSzA0ySeaR+2x7+Jrp3kSKO7h
WTR+EGNOUqtLSY1+ttXN0H8yTO0F0wgfZOAMc41zxDhihl8f81mcHStRn9zWLvFBNq6HFHPUp6Rx
KY+O6XqcUH48HSpy+gIYf4jRQGUs193gGHqP7PSDY7ro2lxMn2eDfJMZC7PfeuJgDuZoXWHabtuU
QONhustNvX6e2WTpC1ofd6RwAeIEplTHjAaui2uZqqadgn9OcwnKivAihDDOeFRWr4ybjtTBhP5b
lcI19Cmauu3IkTPzoSL3ZvjZi7Lwexu6PICMSovBwbqv2YpwkNqZXsWxKGLa97uK5YU609rTmKs+
/NxHHBBCojn2ZWU6xHUv003DO+7Za8L5YpApsjUTZaAgb1xxkxpOMgSdP3Ps6BXL0ggHCkb+ejqR
yTR8SxdzvE3dWV4LmeFVieAYxdkYfgY4SZE7spX8IFunC9CccBLBOCxeq2p0nUsXD+uR1++IDImd
uv2IHJitQ2644lBLS5/Y2/PRYKUNkuY5oOMqhgyjpOJ8NbrdFzcvzF2i2f6BxqvvHL1sMzmUp7LG
pbvwyj+ZWcuLFGMW/XuHogChWxevV9QI1k7N23hDbRvBDPDgFLoocDgnkPOq7OLT27/iI+j/IFyO
/ZVK/QOA3eUINRGxS9FxBpu0SZXAs8bbcWHbY3DYpNezlC4hO9xMcricjYi7Zv9WKK5z1JfmVHm7
PqNunBfojjZJEvsHw+crgqoFmrx05cEtnPZjlXRcQJLyiawjy31L4eXOSXL5qUDxztY+E3zncdIn
jRbpLpvY7y5GLI5L1i+XqZ7nbjsJrssuqIXXDse+ZojrauvMaXNgq8bZvkf3qXdDtiYvJAtVEYqX
LAa95HQiiFir7MFpTlkoioL5Lxbj2q+i+oXiX3IQWUpF0VuufK1bOtS531GSIdItRsqGJqjLxtG+
zptO3DhwDFBjL3TIMHtc5eGSoS9k3hlJueyHlF/AWrr8mahvMFJdi452mIz1+8VECBs04CmKcMy6
z/v1nuQ9XTbJP/JbTchlB24bRcqtLevlYpayPFRrKQ4O53JRc0hibD56GNeSZe/azIDOxtC38Yf1
A3NsC5HpG4GP0HJX52ApOlV7u6lU4lMh+BOM8/qkyvX/rTrulnQnJqy01HwZ+KAALonv7JrREJ9i
6UAgzzpSe5KWeY/BTl5LRZ2VlHQO/JKk4u8L3uCrIWU2WQsfmk5G9UIpsbQItTeHp85cWW9yDM8D
rNSXMBZEGoBoqTdGzCNsWz29ybELzyF+iJdMtbBMmskAi9oOucDsnofyA4cDrhA9JeWvED0mO2As
95gGEvOac4v+2Pnr7S1Enp37its0tJX5YcSLwk6LL262WfxbsRT1S+MlDD317XDOuzk8dZRci03v
gSlbAFdGgopc1/B3vk6yKxbf195p0ejLhKNHV38theeTVIzksB1A7ouOX6dDgPmRKIVhG/azT8Wi
xC6nhy6IKne+WJTAL3UxhJ/1CIJpu7iLvMojU96WWIDPTm7xzTtOPs6uZDk8CMuh+EFb1EPjwywY
0eNcO7VDScEB47jNsC5o9Fk9s0Qt4jUSaf1CK9KoQBvUPNOVdsJdxekUcA3rI5Lk8hABBn0EJhl+
V2HNBfvdOge1IKRGYTg6w0YpiNsg6J5gLcKdlKc49nluPHzzXM7J6JLl9KmtkunLNHh0oVo25JpS
Kvq+mG0Fb8Y6ba5lO5Q3sPX7R1Rr3m/1YIffEzRa58GJ0UBEI28mOxnR7DtqxoBJkvBp8Jvwc+rC
NtzgUNHhTiGJHnZ5nVTz7+Xn/2LX/gS7ZpLYRFn6Pwsdbr6N/3P5NiVfqx9N+n//s78rHaRAtCBA
QawZl65Ld/ufSgeAan9bu1Gk65i/c9n+pXRQ/JEFfJA6/D+s/f9Ar8m/WUDZXOIy6SeDnvb+CnrN
edfDEAR5InPA9+vQdfPxGv9c7m9SlsIxKtNr5NzJ/GIj58FXbauO9JQYM5mPsFBTMjgmEAQL41SZ
KBc0Z0fCVqoxEQdQhfNv2op6MBMCmdX05uKYSld9a3SOz9FVbDObIwLWN89Hlo+z/WCQEr76QYbf
7SG5KtGxC1yTygmyBT2jfysSo1P3Q9UP0gpqBFn1/GABF+tI6Ro68Tm3RmLDNottIERfnfBw+BNw
r9vJU9BLh8JZo8iihbzi+BoCY1N7D7GpUKjh86erYwYS2fKi8emjyHhsPcuVgZfaVi4+Alrqlv5Q
1oNnFttWFKW4SmSSQbgVzVcEp3qvmnq+c8y8xJU5jwjHADIZy5e6pAz1e8fwvw/gnzyAtEnX+fif
H8DLS1J++/HZ+/tf/P3Zc8mptVzHhoRBg44XAJP/X4GMMP3ohwKpUBwcabn9I+dW/c1GoMkOmWwP
b4XH/5OPYfMoO4rcXHQcPDar/ugv8DHed/Vo57Ek8Dk0g6EergmUPzXafMu2sBsh4QkDABHOfAHX
+8Pd+DdSlz8OgcoKMj3nN74yUqafh6CHu57O/OU4wGRH/wcaHW+Syy395z3//xhl/RY/iBKIl59Q
IzKKKr+0xpdq+tY5f00dhCrg5wt5J+7Aa2RTO2OIfrlX4h6/QrO8/voq1o/4seEIJMUXynFRkfkS
3sa7IVywZPgQPY26ETDwgNuZ2nN1XxTNwYlpSvx6tD/8Mm+jESAjPNRv7ntxBbbVCcWn0se5ijgc
0J/bJIWagjyq891fHwqZE+8Sx8S0+L6TKlq3nthNcmEosR+n1CaUIx3kRXR/GuT2Xtqw3kNJO4bz
Ae5+Ijp/ngkyc8ScWwxV6rK/zvIuO7o6RbE5LZgmoqk4EIY+/9W5waCm5F2NlBB+5/tBnSQknrlK
MNNk3EWTGujGBTlONZP/+PWtfC8fWa/PNJGOrDIj13bfNaUzy6iRvhv6WMyxRaBMCETXaLz0lJmg
HvNcN3f1LOHH5Et86fNp+pPx1+f1/Rw12RYg4/DWpend8zxHdh2LLML7VRhTgOVtDTYen359ketF
vB/EMpmYq55KoDn4+UecJMGgnW/qY9c18qDGeCVVKCu8yU2xHJfZxO7e+1NQaSCPvx76380fi3wP
JJ6sWaRq/Dw025NJRqaljyA2ZmqfTodF3wAZrwyRN9gSOEjPcRcGvx6WPdkfn36JVI6LNXkpwC16
d2dXeHgaDY0+IoPWX8l6FWPAZhw8y8iq44RZ/gHHASeXvOd43AoQ4OioA5dq42GehvGQ1Fo/mzHR
CPhH2nSHjezedMC37KgDjdc+5h4qc1rsrI5cP2IVwgewaVQ+VAGCZF7bWCpV6RURVrS2Kwr1Xo0J
2GuDvJLDsccVAM0yFlSBMGzgZY0veV3Pm6zpIXEk5Aa5uucoLnJ1hQHaRZuhSiqNzhxfRGO4nJ3W
rB1BUzI2nOGqi4qeiTp1OdG9WX/d+8XyRFpFvovrGFyBar66ZqHQ+WAsxQ807Fo8SwfbbK9xMnVP
pGva92PYy4NBvyioLJ1SYhCk9fTS3rcZa6iaaomtKCuC1IJrwSI0fLBUx4dwGLtWSzoH1eIRkzLM
rcR7Sdx2RWEex38f34fpMH71u2K+Hxarp86K52CrsCIfcFtjEnTDT6SCaJK+aNQ/IQxyrN24yG9a
TyTmIWHpvkMwmTCGpHn37JuJFyOB7Oz7YRB80HqDUVBeQOPQHUMTQeDQ7LhYIsLuOnfpMWwSOyqC
0CkJBeb7ZWx5sQr30FJu0sj+1rWA7Ma5639Ll+nJXsxvfuk7nyfTibZ2bySfOiA3JzHTdN3omAep
HO1vazXK38RjswBOZ8VIEdYQXhwu3TMWHZuIWL5HOqnsXPhO+5ysUz+Ht3FVeH3MaXgMAyzs8HRB
SNyPcFlOuFiHna9rvYcagl+YhEAaMuSVkEgwh4FHggRFsNyLzg4N8yOFTAYwF7KVmxQzT+FlZIWk
w0NWLf0Dgcz8y9pvmRheAlE+Agko8jA7IymzN7ZR9cGAauvWw8wNSsWSOP/oo+5Mtk033Qi05JQi
kdgTC40De2oSGW57TSUCgmqEMAZKVVr22QRMK3FuzVymhziKxEHaOnwNFWcoZokR3pgwlcJtFiMn
2YDHBHpBk+12jrUJYGF2t9MS2ee51s11Y6yFRdgvJ9ev3bvQsIwDNEfrTskiuh5t5zksGmoT4DZX
3sQgUD5Q/D81GrNT30/5RIBZHL52qH8wD45Vt7GM3jhUSDG+22nmfae11G1boyW6QUn/NfYF9pK+
ge0Ed00ERtv59GL99X6EIoODuUy/5egk0m07EGQbR+iEZCvnY0G662qLtR+p2y1BOHtyYDBHHgiu
1AcHluwnzwwH6K1OfC+KRhyHhNTcnd1PlNRUMtAkpcP4VWLzPjdFX9z01jS+aMsqLzCL/Fv4rtYj
BTj0HDBwjWBqpIPBLJrvyGzFLlpr7y5NdPlCZtB4r+d5upvSuLuZ2oYQ34lSVtv4zlVWUwGVDaY3
0inchxry6K5DmHmkuoWf1REmAzRyXbxyM+zu9SJUuVlEmJErgqlwh/auAhM9iu924oIVi/MqfoDZ
kP7mLG57xNvTBplRtAemBsIhjqX7eq5hR1RjVOwAyhApwp4Ltyg+tnx0wZzGVRM/LlRbsCoNwDF5
aGJ3l/oE4CDnWfAgDtGjKavlPGdzc0Xffo1bDJNmm7qlAOxQpP6JE56zBwfhosaJ/JPT+tQnqeMF
Nbikg46zBL+4azEn6NBRYiZhIhCz1qffK7pxA/YfaqNB5mMfwk0Wub8dwo77MFVscEwqlHclm4DX
semIWqqG7D7HSHWIU0HIG6vAlyTxl6AalDp2EGS/KUHh00TxefVWrxyrJMfFjsDxpSVE5RWqMWKf
nLrZ95Zws+e5nRBO4bHGfUsBzSxd5wFKMhX9CTnSZnHUWoHGTQBziFA+L6MUxBxeuLu4vWwZraqI
dUh0N3Q16IAMW+hp1M2sfG1qZV37UU2Qlqg78a/a2jICwDPz5a2UjhnP/EBHlrKTHVfPQ1IUh87v
ywPV8DBIFrzpqSGK7djQQhTTWmir+hcg8t0Jb7/HUbxPHaILM1Ij4PGweOrhxqfhS6U4doxASz8h
tRDsrTS6yCd7CJhJRV8daxyNgJOGwgTKyhuKc9pK6nCqcrGq0Z9ejh1HeDop2KWOfkKZXoJ4/vSm
kkpguBSbNyuFU3sl+xmXwuFSA92CsEJ9dVq8lsQQiskAM43HOnGRUxsTP71nLVgdFC2InuDj396q
sdlaKS6061yFkvTcyG2xEDQRDNiG/eaBg6g+WbWRPY9ENh3KsqEH0LiwuGxNbEZHVR/eFb2b9WUH
fwJ6eUofY3TptFiSsmXlI4WI6efcWXq2X2SBN76smeBAWAlnZ0bj2LW7AO1G+S3lHX5Cc0XxInOX
ZyZSdOfGRkQYZ+8/lCkSCkLYqULrujx42nI/dZxFCS5PzPA6H0u24m9VVzM0pruOCLL7xRDDt6EM
jadC1SHdExxxO48svN9/pwxO3/dZ8GUn2xr3wq7lDb0I4zEKMxYZa+3qwxIIDAesSdm33r1fDdPe
EL3zkWgx+yMmdPsjLvH5hjeVu4+b2NjNSWLsqOvTvwvD6rJEhv5QxUUZmBrknJFZ083bXe8cVHEV
SI1bAG97UUI88XWbXjka/VJTEa5S9uCdKybifnIqcaXQLwSln3anYu4oITUFmbZa2DzEygfTRg37
NvRkdEJuh+ThbS4vnkRha9iYIylOXC1eMt2otgwDJATRVtqwoIHElNmtaMAJuHR1P/khSO8uRNa+
IdbG3EGO5edfMAvh9qPa39B8ikbfKraIhGOWQLm2BJAbZvN0w6Iwn8w6LG8Jf1p2SeVQFENtRhQq
uloHJtOYBguhPDS8Mv869wkw7zOV3oKUgYtr0XiysepfIfqDoq9Genq6nm4b1fLqVjHpCaqpaAsA
NlTZzpR6hdRI8pV4Nw0nEFhYH8H2ID7p8pJEOlVWjz0q8H3PgsMeCDHGlbTN7rahZUfL0R1wJNE8
mUdJCAn6zT1WG4Pcpaw0HoE9UN2GesGO2Sa5Ox/owOEd5dHsnHq14a6+CG8gyRggLx0AWebPgjZn
UNR0hSw/ka9vQkS7QFxmj6N4namQQrVIKmtj2KteF8VWgJ/fRGGC1lZnSp3d0Z4Dj4T2E3Ra2hRk
yCNSLXwXfm43oKLdlK213AtIezGE45y+Tcg/PNpGE3Ubn67KdU8w2TbkX71LLZjHm2ppwiOhUPYh
EdZyAl7s4nxODusV3ap4Mrc0HuIbuSQmhM2keCA9TQfoxspgqWPjwNm+w9/uzOaXmajVlHdD82AN
FkL1LDGuUKvc9eRBbCro+dsxNb55cGjIiCM0qUeGkqdzeM1lZLscAyQbuoiCo+fpMQCrZR7AlAx0
18LuCuGtRprdCBWwQ4wRiTjFtotn+DxJtQWxU3wl3/Ir/bbbyWytvTmNxbpva06wpeERLMkjhItl
i+M/OrJaHbgRwxYzSLmL0NChQfE+GcACoO8jK9skbRPuvDHC0G3R7Bdeh77Nqe0gVzXXC8fcZlcF
YJIVG3lOHV7qEtxVNkRlALEMV0UFk/Cw1ne/RP3gHLNJIrOd+2mABbJUDzWetAWmuWgQsprxVZy6
9V1ZZvUnI8rKDW/1ArJ0jRBmUKizJRLVXe4RWdMP83I2Ex/sZh73RyPOHEQ5UWPfEfm03KUY6h/q
aIUZ0b9GezNpMrqI/QkmRXpXqOP4QH5Suh+ajGqcyJMzRnli62TXvPp6Ka6kb1j0VHPH17uxiqwR
eQY0meyqLV/Z3svPE8fxCySWTmy16VT3Q5NC3DCrfrwLFxht3UyHNzXidt95yBHNoiB7b3UyQ9XT
/Io72N2vdmw3/0fdmSzHjaTZ+lXaeo80zINZ910EYgCDY4iTxA2MoijMk2NwAE9/P7Cy+krBMLJU
vbqLzKyslOTE4A73/z/nO9If4nm6NrUuPZRWV22py4tvtmB/tRq1WL+aCDv9RtyFs88g3D+GkwM0
til740FdvpC2VtS0m904GMuyP48T17yMi7Z7JJnBCsaukfvcioZzqUzZS0dQJQpWmA2rqu/Cm8Gp
ix9F66j+YGvmM0KGCqcyqRp7jZzsC9FxArfx6tFoBE3CWbc1+w1OePPeKEGIoa0DygWAKb6qlOk1
Gxz3q145JYK62SU8PZ/BjeQpSBH4buzxZj6FcYFaqldGOE2TYCVL8xRw25CTnumoPF6+tvuJUwUW
DmNekfS+jsh1XIMhv1NyNCFlR0GLVR53NOCA0kMzkmn1ozBSyJA2PVUUW05DHAI7413l2cVdlRXV
RTfn+pkQqKfYzxdoE6G7Z7XbK4HRSqUIOC7ZyuvU5ag1pbDOtN52H6BilivOne6OU4xcAboK7+lE
dmSGOfkNW8X0edSM6j5tsuZr3dejg20eCvoK4kCSAS62QmuVZWxpTKUrD6ahwap46w9mwtaHVU+r
ZT/o/WskXfQzVHYvRs8tzw12ti9lDYFnAlu6tpXsaq4WSmBrQIHrkPv6KDKqi2yAcoR1oe6A77nR
FVFn9ooWT9puXNdqENuSVNWKVP/C/P/RleCKer5pgAscPUOp1M17r8JunmFkXJsY+x5G0YKTmkAt
amWBebw2qu+UwZ7MtJVPKJJv5x4t9dah57lWaHcSSzazsteKQeJWn99ChybqBm22+GKp5GL5IdmL
dtyr23kAT4qU2CQ1oDJ3cWw7F3pm0+DMRE9cWuFxNk316DvtX1pSrIQry1CIaolG546jDt8T3AFP
YeGopCF6jzCq5Llaa/qOPwXA0Nh0t2Zi/iCQEQIVRa3v0RwO2yGTZFm1xpReet4sd4NwuGOV68JG
TUdBfYWbYoTOozPE5l0yVOSu9AkTlujilSzZU02x7W0tkgs7I9ZvOIM8sCBn16AlYdkh7151srM3
dV6Gz5WXzSQuAjxQGiO9sscQEZ2lcIrRSXMLxhYiZjTI8ktJvgo7XIV6c9Gdde5UHMJEsW+cBrat
ndr6lRYPxk8tIkisSmW9ET2clLCM++vSor9FtrV1a9bIinERzKHSf0tLwlViMGAFy+1mqBfcSTeq
hzDs7SCXOHoqcrd302Dktx0r7grsY73xvEHdibwnH28OV6Oj2nsjqqZdJ8VT7JVOkEYxXyw2gnsW
UiUoDG+4YCvn7IECRFdt1GTsf6vyZw/BCcZJV383MN58a92uR4EX4fL4XgGgVs+1ug/PXRlCWVPQ
u5uwee4gOI0T+ZC0SwnxFBGohLJpRhgYsE22DYBkjmaxQNo2ifyuLLwSCeDk7eJkcdJRwrrDgvA6
jgj81ZmtimgMsVdn+eJYnBqsnF4emyoOSQ1qvllDulIknkasixYoiEL3zH/rq1PYDwVqVt8Mqyhg
V5ivKXe8tHqCikqdQiSGfF8nKaGJ2c8OR5AxnS8soR7YQ0FLcigTKb2rvZheLs/NyoKn1RgLtwcS
WhRqwQAb5CeIKevGUhX90I7ezwbo3UPE1LsH3C7itdVWDdoUMRLW62rkPZZWtVPJ1iaspynXdhcN
KxdD0CcmwfdVUNCxpsoHmhI30Qm0vn7t5BgtKHWAuiIgZTHfa8VwbyP5CiKb063nUMj/uO56qgmC
Ux9zG8h5963Z/utwkWhUDUEew7WdddfozY4TACEloaN+0m5552pbKveGh/eabTgdF/W4sjzPfxe1
7bmXL+1bkX4K+x8jLLyV0uYahiUEZ7Y7q89gOjlRSupxH1/uqeo9edP0u00DE/i77oFjdLTaVYEx
JjIPFjkyl3VEnfTjUU7dVB7hUsNWaXwe29tNTGHgYOnBvLVDBoCIyPshTmlmWn/y/E5dkIlyB5gT
pTlcwr+/LtnYl+R/STpLsiHPSFZPtls9fXw5n41x1FJKrE63ma0iwMVwOdtiZ7rFZ5bT5eEfdzx4
/wjO4lW0nHcvh5e6UuidCGo+YJdRr+p7uNpUyweZfI0VWi1oBNXrSFBrJftDJS2XvJaPr/P91CPX
0qKOyvzzOL8cNSBMwESGUnkNUaIoIToA577UsuYiV1Kkd7VXrj8e7/19XXI0Xc9jMUVj8hbd8EvT
tmFv5U647oKiHFml7OlAqJbzyXry/l1ERrGEClLf0VGqH7WSvEhDX5HlTZB0EYFndZX4mHounJSC
5seXc2IkLsK1HAJiMBY6R6+J1yZQuya3CljakA0q7TlJw3e1SB8+HufEY9IcUwdOYy1tYnPpYP1y
2+y6yAxPOFUALH0j8mfFzf00KxfF4/7jkd4nD7rEHP4y1FGzkYOqvVin8OoNHtW70oxWhXQ6/One
gCdyKOf7yaIxjbQoFOvGpMSnCkRhNvvWTTfr3SalBbTTW87SBdyoguoxikvLTUmoMEacHjKeL8Oc
zaDZQNN/UwSzueo2ud6lYBaHfLySVU8Za8I473PWJujLTuZPLtTU3k0/WpkU91UmgIZ57GhtzsFr
GR60cjywcffoobW50gBwTbadPBdz7+z7PKeJkiMFBDYB3g7oWzbaZzbGvITQB19r6gw1/30Rsjvq
7BifTQHukzD6kNMl6SLNps0kRYfEcPB3ptAxI1khkhx0Z6+kSu+P6J4CGlxy3XWYZBknXXOOdy4y
Ey1DCuLVH1mvgdxKH6bWuDZZYLyNG+lEJxGXrn53FmXlx2/AiXdNB6iBgoNvFt/9o3ctLIaGNuzE
fUmV9mLQPOOMpz6CyYTpuhrhnAcfD/i+82sYMAJMCwsdCJ3jzi+moGGQdVEFntuRFgeBcNNEoruw
jbrbhW7UXcTUX+5I/YvOPx75xPSlrY0+Dts5Zu/j6SuiaVDi3gYunEzTV9IotKeGou8dmrX09eOh
TlwkXV5WIw48/HXcQ6c5wqZz6sugGASlURxVgpoNKeZ4vcSZ3WaJ67d02aaV1KncfTz4ietkX2XY
NMSWyNVj9oNDqAZnz7IM2rBKdo0s76IFtuCmk/jke/J+JHNZpDQc9ABRYOf/vlBxEGwjnNt5gOfv
cZpKudZd6PEiN4w/fk3ZbiCYQhiFDOMdsKEGd9tHQ5/TXOyJXrepvhjptZSWveX0+eNPb6CpLmgw
dI8gUKzjzxa5OnVJljmXZRVGgJ9+CYwgsM9vcyP7DCnzfgIyGFsbtgYWXa3jz1dDgziG3MyVKeZd
bCiP+EN/pKNxhyL3kz3IMpd/34IwFPocm0tjzX/DIfzyXSngpk2lQjcWX/DGoGDikRCwIsBgJnER
Ox045U9ekNMjAuBCxrZMuuPPi1k7LkSALGi0YZ959XM1aXeGyBrk9nYO7la/+PNHx8YbqAO7DkY8
eiMtcEfY350sUPp+P+VDANz8OrHVT4Z5v7ExVQtkBGQxCC/6sbJqcNUxSfijg0HRFyIDgXf1yBfx
44t5v4owCqFWSGd11X5HycCiNpZpqmWBMDjWctxD1N3/dEr7kILx9Ini8I2p+mSV1N9/KRmVhQOD
iQUa5ZiNEhYzFpwYVZWHtnUlc4+zeFkTsgHPUyF6lU5WO3n4fHCsZrFPpGxN7Vt1dt3YRGc5zSQg
w87dPFnNF5Tw4D3qms3Bsi1oFhcQ2hj73tOhrGDJtT756U8+GMg7vHEapr3jB0NfMiaQhalLiarc
pJOX7pWRYsfHD+bUuofhlDUPTh2qwaMtZ2E2fEaiKkdv7JCsVw2Bmml3rtN9tms5MWEtz2Zvyzpk
c4b9fX21HEC9dVOyEI21QTc7jM9GQn62H1/NqRXIZgsA/4RDOffu91FmuGFj1CsZCgIsZYPDZwoH
LqaWNv+OYebPd9GcGZGJ8slYIGXHJ1TgEzZpoEzRKQt/LPdOJPahEOHjx1d1avJAELcdJLkcDI5f
47HNQNZWTJ48sdybbNKos4fWDyqu1VZElvsicxBXqFjaTz5Vp9Y8hKQm+2okg+8OPdRP1NgwhyyI
CLXtSgULU7St04c6nW9Zrj8Z7dQLz7EH8rDJyfKdWhAaCToy2AEB/OJsV9iWc5A6tuiPb+Y7YBIA
MpWb6Oh8jgxkzkfrqtfrY29RdwvcXqoPSaxWWwXF8SpMjSGnQO/Ie9DJMOirbrhupjK7snLH2MUu
wi5Ix4R3ReTGaQ2QBwxSNGX7Pv3sdKudvPMOJ2xmJjDB442PCFvVkkXB12Y0qRV2zbPWeRUhW257
ljjuYz9SnXDqmEpmaSQPmRzas9CrnmLaurO92J9lYZ5RRfJWyOwX6DPX8fGNPDHXaGyxBXUcA7jH
8Qcxd/gZkpHttiznH/WsdVt1SWAIc5rY0/PHY524HUBdmdjkEaKUPd7G6OBfVBMcQTCH2g+VgsO6
sNTndsrLwPHKFJek3X2ywzgx6TSNsj07Gr5Y77bYg8inEZgxl5daX+MkAodD655ipphXBvbo+0bI
Zk1Ldgj+/FoB13lLRYoN4vFKaSoemiOSWALOaleYbAXy3PyALDnCWh49TK4VfbK1OfUkubWUAXSN
0+8xkZC5ggvbbKpAUaPGhyVMa5Jkw4OEOhIUNgfpj6/wxDeHC2QPZfBhY7N4NAOLUJhxUnFrxyFC
wm0KuVabCoQ6srh/ZygP/ISLlQjR3dEHoXbMpCtKjmiaV5U3hHVjl3Y6+zzpNe2T5evUO2owoRYf
wiJ5PvqSDuhiypnKQNAW/R1YnVfLau7ylueXRM3BhSrxx4cjFjBMFzokQHTkxxNQg95ekYNSBrO+
ZNY58ovoxbqmDvDJQCcWZrTFWK8MKs/YOJbn+ctmu56xy6ohR8A8sh6jcdy5c3P3ySthvN8f/DbG
0TvhKSnZoSZjoOrVViT/1nsYUdYXvbehOOWy5S6qeBOlqMH9pdF9JQX5yGDmdz3RvxT/eiRRJRGM
lTkigyG9BWIKOILEAE09m2Z80Inc8csJi2RYq+WuaFFocLolknGIwrPYclFrqyNuYW3BiZGGrH2Z
vQLFRakBtCH8UuzUoQkJ3kE/dk3gL7tDciixFCfiOh6deKeJdjrLLXRagxEXl4MiBnj93l1SZa3P
Hc62BbUisYpRCwUolAqQ3XO9CfvYQjGYyYvKNEiHS9J++/HtPfVu8hV3NN4TbFnH6yfsoaabbN5N
tILPzdg9u3F9bRrK1igqXO2k3H883qkZzp6bzR7le5TxR3OBxLCyMaKpDIh8X2pOV1LPzmBof7J5
fe8vWJDDKPzZm1Cm846GgfgTG2L0ygAl6YHEH4FwyH1psns6UZd0pf3e0p8iUX5yZDJOj0uVljvK
4fp4Q+bVcOhqaVETqaaZlCEVl5AwlQNqd5WcsNzjjNNYBUCQjDDavEQpBFWGhbzRhzMLqa+VSuXM
UHtlq3UmqaGow3jh6h3GD9pYXvrd0giylyN6IJhQ0drrNJvaizOviUS91UmD9N3ZalZYj0n/7Gb8
sSk/D+yV+hXht3aTvoWgj3hgcXTx/xez5cdtl24c4CEPjWF99ihOPXEbAjSYacoMeC1/XyMStbWK
MhvKAILfRHdpNUl1l2nEx338Zp1ai34Z53hjNNRDkVdw5wLXWhK3qTf4RRxvPh7k1AfRBpdJX4F+
G1jg3y9GbfS6auCmBTSdXH9aPMOq/lgRMLeKCXP7NwajXsmZZTGXHh8ibMFiVObMFSW2SV+GXAJu
a4sMDEFll3xy+04tBDZlf74WWPbebX7zaTJsQjjLQKTiAJHQJsJkeqxy8dolmLdi+5M7qZ16LxxO
SRxg8VI5x32aua1z7i/7tHTMwfnMurZ3ZyHPiGQgvt1Q4sCsG5ALtWd8SdQwDqYIZXNUJeWlG7nZ
1qvM6d7BF4BGO4xgxn1880/+eCyIlJGo33rHC6Mcw1bJYrY5sqlfDS96iPXhNjdoJv8b4zguJ0WO
v4tv5vc3qiWcL64R5QScRGuqOd1zOSlyXfXikw/pqW3rwpamxLL8zTmahwZhJ1aIACvoEI7HLTo3
WR5IHNunrnadV81dkXufFCpOzZZfhjzesKazmSPUUckXk+Mu6qtXz8xRuNp7UQ2fnDmMU+/vQsKn
Fg3vnlrS7/exk65Zz6NTsMzo01MXk1ySeLYPi8olrRWi6QLo8AtWZKIrFsGxoi3yLIHyB7bYo0lR
5TFswMr1OrJlrC2YDYi4u41mD/52med+EbbudnSk++BarJoQ5VpUE0o7rudsKW1W+k9V6mjaAZKQ
hfmUVv0VnsR607HlS9yBfLjJSDZ9MekkW2oWH3vd+uRtOnUXvMWpS4mD9/a4AbsEi7clIuVgruez
uZu1Vaeaj9AbzqmZPnbJJD8Z8NQjXuwZOAYdiq3Ht71OtWhq2AwFSQP0Y6h7UW/f8CBGBN1q1S7C
1I8nzIlL5Lu+uI0JQmDnvrznv+w5PXtyYf4YeQAm1dzEYrIvy5gd2pRW7WMKKD1Ah/T94zHf9BpH
VWW0Nzo3lSnK0fbo7YqUKaczmxeBTWSNTwK7fWvG2uCXxmSdx1WePwBBBD5iItl60ym7MfwVwpwh
0qEl2ikSnuYnt147UcRElUDVZ1m1nXdn32i05jocmNEtqa9UACKTuKPQ2LahaHdAz40VbwryKQsO
aSRif6Ing/za/IwFbpxYKxdfOHIMIAo02vTfH4mKNILk76TAt5zCMXoTNycG7BkElqV1zuNyzroU
SSI+CzCBOUVkTSnoowL0GW6kIdXtRJz5V/KlCHjoZvUr22LSuySvFLYJUh1Hz9qhy32dUGSyZA8b
007jDYJBcy2Usgtiu3E2Y0watBudE2Ns3GZGOV4zbXGiTEyEx9jtvX2uOt9UqHyfHMxPXT8dMDzo
ztKhPy4cUW5L87YzuP48G2/hBCNII7WHSDIl3n78Jp4aCvUlWgPc6Hw2jjYgNJ0IBFg+S1CA43VN
CDc7j7HO9l6cR48fj/X23I7f+qX6a3B65TN4fPwnki/vZZFwOBigYa06GsY4PmZT24WkXgM5zrVz
jZjMm27UyVnXleigdwrgICOvd/AbxNnbD/RH+IbL5EVUbfWz+6/lt71U9SSSKO7e8AH/79/uKsSn
xYe/ZPdaXT0Xr+3xL/rtj23/z9t/Jg9j/dw9//Yvm7eIl0P/KqYvry0a/n8SDJZf+a/+x/94/VeC
Yij3eByL/wclsIzw9+9cLuG///M6y5/jqqB29o8/7+zHf//n37/pb4IDYTBoYDU6i+zAWT5/ITig
MYaRYtsOB6Y3DArv1N8IB2Ohp7CpdpZgGV7Ff5JTjL/YAfMCshxSA7KcPyOnWEcLGfgWLO6U75Yj
Gzuu4yVdDJlLipTW7M1OGdeGmW9hmZF0X3TuwYrLuILuGCnlqoN1AtVE2L1yH3dW+oNFWa/a1ahA
LgVQWmDwwkWrGOKun5r8HKJhkt50AI+fBpE43zDNlftYi/LzTqY6DL4MuYdKVMFeH8Nsa2fesO6G
tLxI60apvpXQvS6HCUj6rpi0HdxmPBtzrNfbYpDC+zYkVF0DV12E510z2V8HST7nzaRbDhChJL5I
9Qr6iwEypfS9qHaT56FT4q89dNkiqESFBqNuYaBfdBZUs2ir5AURXr2KkXJEooL7T17R6WHl3boN
Ib5XcLi43HhsBc7bckrNkN2czUl3U1TNEiZQLgqIfAXunRWEZFinCK+IRQ/7BTbJ/SQMeyp62fgh
bTG57ofB0QDShpr6IiUlqXmTxYkl1VVWthZElzKtwswvejFjTbH70oAICiGy8MfOM0OamxR8+J5Y
KTQxPyM+uoQHHJH4B9HcJSVxTn/M4TS1Fq6gApL5emADT/qkbg4R6uIxFFcwuZUzVZbiRsUdspqx
B6zkYEKTIXnuDNHYsGMTpd9mik02K47xGXgr4cpaLq0tXtXp2anTbCPzfslrnUh+W0KZB5d4ZkGG
GOwyszirqq7fZW85zk25RDoPeX/mkqDl9DG1lyX02bDj6JoiM+nwcT6uKW4SM99Zxiq1o4pPrBce
xBIfHZYKQVpAAN3VrAz1NT62+6wqooMRNe2NjAfnkNfZ8C0u3HFNDG24F3U8Hngfqu00VMlDDm4e
nmE1PWYxbH4fjiPkLkcP11JLnCsP1N1DXI9GMMa2cq2MIRnYrVC87eAI4yIkX22H1IakbM3B+fTA
N4BY8SVFu7G18radxgyeZxhT0rLSxhghigtn9KlHzGel0G3iyLq22PR92Z3JcRY7mVM8RmpsnHsz
BC8ywix5B8gYx6QL5RJZcSbyn5o0aWYbzkxqJ7lB5SbTKwwnAJluRDI7Z0Jad2njrNu0N42VaYzO
BZmSGFwA0+ULDL4frnu6RefaCDWd/Wu/6tKJZ92TJHKIc7t8EO1Y7ohIrb9LPX7U8Ln6Xe66e540
4PDaMLGP12iRpnw8IH6P96U5irtIM+avvTGD1PPkqL+klVDPlblEY9WQ+LuXUAK3SDZfF9BXoFlq
s4mxDfMEnRSsoNt/Ve00f5yyOXk0ZJdYvtW42WMDsWktM2aYrXTU96igbTzK4eRZ2ueySm2fUKl8
lwqDDHd2OXs5th400ClLQctBzb0mcjnDSrpEShKmktyUYTruR6UehV+BkOMtjvh2W+6Yr4j0w6al
kB5dyb72ZYj3gPtCJC30ST9SVL+2WrmvCMpYs+PUH0xHMa47Rdwns7hNa8X5gVGPXFQV1TkuJwkx
3tfrOb1zRGqeF4itYama9cpOWwBnSXTmma2D90w0TI2+vcXYDg5SqNWL3asurvK5ujFCb/7eyIqc
ak0hNNwrZH1OhKR5H8Wm5dvNIqWQRTMt6Z/RJS2L/ltnKSQz55EfZtB454yIXGz4Yk+YALnNaDNe
cwlkqh2aC9J85cay5QjXoTe+Em6aBAY1KHc1Sjld0A1Gq5fZ1He7TqdRlZkxcrZmVLbYFBexGIzp
Q5a2ZMfWQGQ3eT9qV0OblAtOJIHcFxcyHQM97sYvlTRbFya3NG5JK3a/Z7IgaqBPeh2SXy69TQjq
9YuphO5FNZTWc48V8tyzQ2GvABuzzvWqMd5EWhmSjuvG7UqXIL/pnGt3k6a0VxDSe/ByvSHX6PLA
hrZJfFYVZJytwJi4F4qmV1dtQrHYk1bld+pILdItv2jSns4iJaRoF7fwGtKwPbPQqO46iAsXSqcn
vufW7osJU+9npZg/gLjrEBCHtvOnBucPoONNI1KFSa5kl3KM3UvPyLILepd2ukrnl1jVm1WjYnAx
x/G+UsXt2Myq72qcB8oQ5l5CjtY2oQlEdMDsHRqiGDYKUF9MPK1sg0iJr3JsZ1uzT8K1KIUG0ssy
d2lkwadtnJcUscSXBuyyHzd5dRc52pKhLuq9TOFVYAuy8kur0iALt+VwWZVqtFQD2Efahd3taOxV
B97cYl2SGXGTTJX40YytosLz03K2Pab7wJnG3PMTTgija6r4nGbrVZ5ZxU0RKtY21/GEacRO+2qL
y2lq1eRCEZHD+bysdl0/4mzux+6bLrAD5G6FqNXJnrpW+54uake4GfPFIIuoX4iwMS63Bu96WxHb
UIDvmIyx/anh+t/0uNhuU7r+m8GUWBSXGpTpctY3hAKCZNDaK1t1QEF4RsNPQeUfi6OBJ2LGHLoy
OR76ioiVM9mfi4QIdquUBGWY+VMzyn5LeTr7Ubi4g6ZZ5bm67lPs5q8iS9ozg+hMX3VQmTQW/yu0
HDzdCNWgGnTqGbhbcz0kmr7Vu0QjUVZJX9BhW6ydb/5J3Cv4PXOiv3OyQNo02dYdSuieDcmmJw4o
ACGNKXZk50W5n9RqPR7Ok6Li9J6P9dLIJDlZ5QxFKa4akFS15UtnkZXMz36X9JHm9/h4AjkYjZ9Y
l7Mp66AkkXel1p6+rTTrpVHrQ9+jJqYJk/rYzHcs0cpqIrxSS8xphWEpQeE2s8PIVQDsanXl1AI8
FafYttnNssCFUmT0AuPyi6t0wE6rOdpS53BXBEiTv5wAljZxbbZzHm2hyF8ahaJ8Ab8hd7nde4E5
kXw7G8UBhDzmsiTedrBIV3OllL6dTwd0wNo6S7J813Z1RceFsGkzqtyVFcNlKQdjZhF2jGuFg86K
td25A0KeICcNoW9b2iv+XZzpU8qJFprESk9qiw9ZFvM9MHq0Cpr3khRTQ42d169qlcAeh/JgKyCr
vY7Q08HqNV/16v5sLIQXpGWkQBie3X3RTQe0HU9m6Nz/+VnqXzgl/WvHrf+fzlLovj48S13ixXx+
iXuI4F3724HqH7/zn0g87y/qTyTIISEzaPb8cqByjL8sTk0oElwLIJllcN75JxNP/4sSLMdpfhu6
BCr7/3OoMrW/0EpQ6Kf7bS/IJvt/xcRjBMoR1MksBnuXz+YZE9bGWqkDNik/4yqiBOVWrPYurdJf
Tpo3/ygH/JoC+b4iQco2Igv0KLhk3nUQ8xJBPUE7jKRjgceL+1SX1biSYdz7fz4SY6B8QY+A02n5
SX6p/EWdEs6iJnqlk1kP61a9boeClOZm/qTEeOKS8I9g+1mKOeq71sRAXcOrxEzGS5v9zPLsZ6gk
P1P++cfXwzAkuC9NSqQIR2Uz9PXo9K2xJtmXLYjnNs1qidP0szH5N24d7yoVHBTMaPmOhRWgcwoT
e3oNv7AQFyPhO6B2dPdClOknF2XzEH6vGdHZRXVAf8xAIHbcIXMG8pI6j29ALIFg2/30ZYrGB8gG
D/UAnvnjO/i+p8FgBrJBpO625x1rs2HoV8zNqg68pgUaDB8hSMGuryoleVbdiKgK0CsrbQI89PHA
p94Q9JeYtd7KwcePjlD5Xs/jsg7qJqlue+yRK4tywgMeI+OT+bVU9N7dUAojrArU85nVv7/1c5/2
EwaCGrUvVDUib6ZNqqvh7b9xQb+MspRofplbLmXdQelzRvFGIDpifBgKWe7fKLH/u5GO3npJpih7
bEaK835a22P6zGcY78+n0+u9VZGeGgkC5G4icCf676hTEPV4Yk0F2WCHLASzcFutyJMgrc0wvzYg
+ZHX17g/01jfWjDHfRwan2hbrbc42t+fHoJF1+XldDwT68kyXX65r1VYWG5R1QUlVL1a1+qgkKlW
d+PNbBbTxgvVaq15QtuCi7ICVYzVOs0Nb2M0ZrkfGpSbvqygWbqIV31RlRhw46QgwSk0zhZS6bZ3
sp8TtsKzaNaGy9ohMolaWGuvdK9qVlXNL5nisNiomdT9no9W4IxNcZiEpz9mjk5lLUzDp6EYprUs
RisIHbBn1QRBXKZMqcwZIaC1U68UlIRGdz00kXnWdeiO+ywvN1T2y1uQH+YeLoF8aUI+NBoFtz3Q
A0ZJzeqcqKYh9WPHjavNZObq9xTgCmpKfh6FmvNzEXLR2dCRBs2W9DrSZzZglLHo3RlhmK40knZH
UBsdESYgWbaNirM1bYCEU/VT/ELl6uaCtZOIrs53ulKnmML6FkcJrAwM8rBYRo2KIrh5f0AFszeL
IeHgPlfnmkpUilvAI3E9wvycnGZ+FA/W+Rhp6VPkVvmDLTP8Ja1Rf2vsQn8MufZ65QBt+VYXZj/z
Mw1LHcypvc43jInlZrRNwEiKKfKHVkKkgu3OxlNJuqeQWwOJo6mv7T79qWo80x5H+iOVhJ9jK8Pb
zp6rM7mszjGVvvOJKlG2FTmkSpYXL4+BjtnjF0x/5hkflc4nvTDZDVFurNiJJAtFrC9hqeONXJl9
lFxFRu1dU78qf9rQDq9ILOMm9jl6EF2RLgWsZeblLQw4oGPuBftw6joJNwHhEQA7k/yToqmjO3cG
0AC7MsmePHAxhKdI4pqsOC0wppOGCitI2PmObbhaX2r9UHtrOw6Hr3FYK95G1wZO3wQMJvPKVktx
AWR0fnSxYt+NZVb81B2i5rjGiao6i7equk1gElbxUDG57wx4talPbYIgDWFaoFYR6w/APMbCuxBo
xpHF6DyCLhwzss7I1axWME4UBJm299A2gmlnErXgc2zz0Ol67q5j3kNMwLsfPyBejgaUYmX67NG9
3cKEHy4xC2rRKvFIqmqHcPxCtXf4Oos52+Eu7VB3KUJPtilczXkzpy5WD9FGkhMktbfveAXaH/rM
3KKgMGlr6pTt/eB09bcoJarAmXKW8bHihxWUqve2aiYTjB7iyLSMJ2HFUfbURHq5H0NoL2JsdZ/8
mJ+6G3sXoUagIz8IASegNtbK1DZyHRd2fAUNa9z0Ub6gUXhClCIy/sbjjV0ByZ/gy9t0EPBSKC3G
r2XtWUFJwXZFkCCRLKbWf63badgh+wIy5PW8CDNBWcAIElJRECY1CjyWVst3nGZfu14467gdb8nD
C7pq+N7HU7IvSlvf9CH1Mb7GziHumZRayY+lavlwOXTC20QZ8xy9bsj53skeXRImznHjb8kWy6mt
j3XnFzJrM+A+KcXeLuelZlUcb+K8ntZln3rXBvvabaMw67M+n9YDmZ9UhUFgzoLVjdigYactn/7a
5Lr1In1OWsW9dhHrPucjIC1j6DT68lK7o3xu7MeeNwpDZvjUeyEq3nyq1gMH1Y3Vzkyjwm08BO6L
1V0RFHYgpih+DHfzoNkUxkw1f7YsFkohWD9AhjmHOYGoRrFhWocOkYygNnr3ABFJXGgS2is0XV5D
srUa8tWKfp1OVG8Kva/WtmRoUVUiSIA8+BjT5UuMHKsuqZ9GXgtJBv/YRiT5tVFDs4klOMG4Lerr
tlm29pVenedazcskm5hSeaGZaMS4O0noEWxq9xpp4ay6hHV+6zJXe1Ulq9WwvCOWOmtXWdglV6k1
RtuB3HbWODYzK0XpLDCd1rbl3O7D8NB9y5hZEbtq9IfZru6TkTs0O2G5HlVH+HxwJa6djpU7V4XA
/2KXd0MdhaQ5lCVBx31xaHvWHiVi9ZAekz4biDgfvKrfGiQTrqJySK6MUFe/e1rfnQ8KaZFZ1V+7
WZsHra0OuzRGwFHQErrsRHJtEG/9VUnT9noa4+4yTOdHWFPy0c0md+1O2APNWbOCmbjfTRk3xTXc
YQrw2TengV2UGPHPKlq8/V1yz3x+EAMlKgJ/CMmJCvLSVANB5NSSDFYRZ8ri/l2xKnIvHT56iwTh
TEliolhLVl5RsuKohasRP6GRDDPzSOt/LLLg4xBG8Ay2HP+IKLOBsPLdptlANbsPUIKYYlfG3krX
4lrS6fJSQsLynMUs5ZzZ8IqkXuFrkZotkeUqoVm1syhMYQcTxNn8X/bOa7lyo8vSrzIvAAUSQMLc
Hm9oT5Esc4OgysB7IJHA0/cHSn9PFakuhuZ2OhShKEWJhM/ce+1lmNXktc2wmylEb2LqOAJj1YX1
2BVWcRobm0BsrzfrdeUPzcnOu2EzCJgo+SZsNOqK8zRaJN6w+eQt61/hjSGo3oifCLk04EhOoooY
TC+w8QLDPVL5J0cRdbIK3cH27DXtAGN/pjet96Ob0hj3RZUV32sJOV0kkXfUvlcL0rtwmqO6kSYJ
qJp1ffKXoTKejn1/R9IBk7TUwTFt3flRCnUibh1wm0EosgNE98XPzKxfky3yYUxtcPNauGDo1PcO
QKs3qVOZp9mGGKA/HX8gsjJNMWq3i5UjGcRbLt8XC4e6lzI1lnhVg3RKr8C2wrGmPd+pZa+qlLHH
kPv9wWqQB+kmfM5imeFebGX4VAL3YW5IZBCxMjcDe7RY6Qgv4tKxBmNNCud8w+cafY1yDy1OJjpj
lXukFKW5YRwTLU1/50UF65vjsnw7EdUJDZszrkY8TuSm5oIPGTP3Yu1P8r2U7bc8jaUgxsFcQk9F
cfe6C6wRImPlPWSHuCic06C64kdlY9azGvuRaIYl7hPWPRk+zCVS0d8ol8pCMKW6rQVlVdIWz2xc
5cm3Gn8zWbQ6XVKXpPVNgzwDiAVXJezBq8ztAoIYm6Re9UMoD9Ei0bUxsa22DgPJDxg3OM+2C9lj
FfCvvW8I734KBcttOGlo1UmSfnlZA0tQYX89zmCS73RVb7kNAXWET0dFLjYz8Rct/U+FeTfjfDt0
Zn4gXoy11xrVNdYKRF/5LTUTNrfJDQBlTJTcTI2VBQwEWPzkGZpHlOCQ9V7f/IbWtJwPgA2KKnSy
b9SWXoS7LPqk/NAWAg9jspkz9pfRS57LfLiEE1v+7/uwN406LwPyFY5E/Amw06vuqHOULKKxzgl2
oyAtMWJls6Y0KZm3nw0HUP33x3tL+FwO6BGF7jPvt9/IV8qWYs9xs0VIjf/t4rNWbRKGArhz82L1
eHZsM3KWb13pj3cvWzAh7bCbY2sUu1gQO415uHzGUVDtNdDuO2/Emz4bWxt4g8y9+UK4L6/uByz4
0YWWlxwY5SR7aUTVuXbG977BN4gFRwGoQLqOIwUk8Vf9ICMnFbpllWCvQeXqIklEd+qSEGoFFPlu
hj0jWDXRxXARPv3+AVgLUvBLLxpQH9gL/sNg6q21xyQyB/HSCLG2G6PwkDtVcGWEYfClGKhLyTKU
021gyOCJHPanLJga8hzluO0nhRV3X5Vxsix2bb9qyFi0t1FfU8s5WXug+A2u0qrsvjXhEsrHQIuu
8eXs/xX35/9HvNpGLw9E8j9zf56+txgd9D8j1X//zN9ItSf+cGAHBkCZApTsBY7+T3iLDSvI8UBu
MQFgb3A50n+QavnHgp5APvcg9TkMjP8vUm39ASN6SYiBAoQ1At4t/+E+/Y0XQ5uCnAVr6u///hk/
fvXdIRqSS6oKZ8hBHJb+XxESX6hhTkhsPmDRj4F8TOmQRu+iaG++O6jcXKODLS96bzIZfj1KOKjG
sqnz8P9HdAG/N6BC0WH1pexJl8Qdxj6SXg0fqJpp1H56Hv9whcvz+vXD4+CM+Fn3uG0eN/vXg4Pp
Eneb+cEhcgIaeq/txo3SguNKM7ukDIefMeCrg1VXJvamm6fku4aKD3zRuvYmh9OKs2ea7HuFSY7d
GM1pIBkXc2qs6SgtSJLHs7XediTLXg+dF14K3Bo3/w8XwZoFSStAsG+9ViOYLQtW0c/BoZm1tcXn
Zd4VBlLSxBunx8Y24bCIzLO3RkGomzB1/ZmMODrPCtoPqcOBvnNLS98tvsMrU9FCBEFMWKGf5Ud8
eLIdBGnxUCRDv5vKmQA8oyiT/e+v4Q1qy3OApboo4jAceqOd7Qj7GyaPKO/ErsdNa875Sqt2IrLu
vd38zea6HAl2MsMXIsHY8n594pJpcFELjqRwuTpMPQhT7/rNqe3t5t6UtKe/v7JXHxEeaIvgDz7o
Im5/q1awRFeWUBo4XpS096wo3WrGyP4dedM/3D+8UIC96VHQY7/2Fwpalosc6/pDS2ew97lrNVbD
h6zzH35/OS+b7S9b1aKwAbhFSMW68GZRSCP0aiPv4MGaRX6cvc7akouU7KeJBzcVNs5eOIp02BL0
2YX9yb9CTQJfi0zYS0xO5bmQsrmHGw5s5SpIx7VYKCEKrtAhygkcrPJy2ie8m48qgkm3tsmzZ+aK
+zN27REH0bVDrpnPlLez3O4j3vnJ4fcX+VfF88tV+gD6LA1YviwIsVxqwp9q0BDYaohnMqbpZuBs
RdV49CIoIEbTIivMSAF17eqHzltjIzPAB17e9JAXiACVqPsdmbftTZ0lGLP2xF02+PN/FFaW3Mhg
cr54dBEfZeNuWzFaH0SAZ8WKiHqxbmGQPVhmFuxwjUUBpmL9GEeltSmjZNrDSRSpir6wnJE51Et5
Gw2WhGpQVWd2l/hAsIe1tSM3OcBymqBjJMU2tuAEd3blP8D3ILrCoLUvRRNTKkThV2I8YUt1WXRE
oqFu61yM5ELNnnMFupIzKF9Y6spy8FjHTNMd3Cpf9wLSXQZF8qnvSnyZSzLmi8m4lRD+vpFm3K38
PCbhMuvtvQzxUIWmB11jzmp3Y3gzroCxbT7gRlR89KI4+1GLmKFkZmJquw7aGFxmrEzavTLWnzy/
zDZeQVDPArIeQWT01dwE7q2bZwQ2+MmS3Vck4+3Ql82fpDrLZ7PptoYmZTwOs+9GZvjXRpkbNHRJ
tDW89lQULmcNpRWaXHDUyihvqhAoBrOTsV9RRBkrDFX2Zp1eLfdzU5Fkucb7wFhRhuGiX9ifZeyO
kHZi8xhlRXHlhPX0aORZTzQsybE3qFoBPScVW1uT/WWdFqO9t4jPOA6zYz+3EOTuUu5TeSQYgCRy
r7MfMmcHp5U3QmEDNjS2/VwBj+6ymMxvu9Y+qlOrbB/LqcPTFFteHo1OV53GvXOchl0c2/dWWAxb
1jZ17LH/Xk2G7n1iWaxvxNYUm9YVNbOF/DoBHF4bI77boNNADWG2aFt7ZhimeaotxjHYkzurNNAR
9vrRNQKCLzERK4e4781LKGaGXK1Lqnz2bBVluRnxp18bC6Dbw0Tf2W0rrjw9jBBes2BVKexMC9OO
VkPaGKteYePsYQjNEjWMa1G8sE4qfTYgBO8zWIbryfDDz0YdT5yMDncxwsl1nC3O3K3ZKF4uNXob
tqFsl0TgVpt0TJINKdzWvu064yznCt9jo8KhWsvpmdBw837AIMKH/4fPzcq00vp2hhnPMtWJ5jxN
wjnGpc4Pwk7Mg1fxubjGVMHVCxqCZnAjhfLIFCFuVnMf45FmpuXXVjnRpzQUwzcXF/pPtmrHU+H7
6pipoF+pqMZG2jRqsLgsXMvQVMdB8H3hRg1LDUFfZJOF7XXiWCaBNzc4U+DzVpgRUfLGErWjzHKH
8U98BHuvtw4JG+t0og0M7CHZC0TBV4mGblyaRb+SFf+5RM7UG0YQzSmozWxDLMW0N1zMcpoOCXOY
qukHMO9Y3RBACbLEuGs9q8lctZWVbV4UMknEziFm1ASWOdRbU5EMxRW3J8/tre2IvnpjxXS/c292
H+dgdG5xwzRvpsTEeBqE0gUPhob0XaR4AwQ5OVpTmrZfYw/Y0q0S7ylO+vKqlJ54MEzqi7yq49sM
FwxmJZR8JGWbdF1BytmRB4RFE/q/LbHO2SWPnOZTmtrZJsPodpMY1IWGrKd9npGZMTpNtsMceXiq
+i4/Nonsvs1LOnSeOqw9LRfJoGS+dvMqPM3AGgcElfWNHWPH73UtOxecTLFmAJdt6JTwB24VVw7T
+zYwi3EjB9vaNpgNblFLRuCpddhBeZz5GSvIu48RI8710NqcSTYE5l4pzJFCw2VM0UPKpT/LUrm1
g1jeChaGNfHZyb7urfnAGCRfBx5pW9Qqcl2HbrCijmwZ0fG+CjueflADq6dEtazrJKyfUjyloPqi
2twL0nP2MJ7BPdrKuEwcIN4YOTvvDLrNaROA82XEOz8CCIz7i+nV/AlztktrWs0GJZb4hAr83GUk
FHmqqfYdoUkj4zzTPkttQnRkURDtYCOMb5xdHTf6WGTWItxL411lh/G2KocHES5E6R7Vq8xGufUS
864Ny0CtspjpTVuDWO+5/V72tYXAF1+1XdEo3mbZM/It4Wb2BShda1tteBUwk61ZWacuWsjsTnyj
/8I+X7b3/21Y38kaZS6xJAf+zw0rlDJcUZ7LnzvWv3/o747Vt/5wKPDgzwLHvGhP/jtuNDD/wKRH
EGAH24PW00XG+p+O1f8D1xB0Si4KSErvBVv5W7ACt4rGFy+zhWsDykMz+6pD/V3H+tqDByqGeOlW
XWRRFKev9V5wkDH/zztxLmtH9c1aRUWiD61krEy+eIlYu4onnPHTTBgjAxKc08iPj2t4wUEtnwmg
Ki2xIVBsAdNl6s6YFmLG56TnyGogJgdhCRjUlB06vp/u9D+0oq/6EgsEEeLUogwF6ZLgXL9WnH43
jDki4PZMW6IvIqZ/lID6V5PyzBtyDNiwfn9A+gJ+5U9FLoekZ1hQTXohl6f5qvk1kpwYn6GKzq4b
XJH4Tj5IrsCm97h6RA1KE/rZg2jN+nOArUyj14OjPOcQuCBlOxmRqHAMvWSJGoK3yxfrhkzdrZ5g
H79M6DdZHhgP0vw/5BYuuXsnLKszRuS4UcIAAGMW2cLjbtqmmNcSp+UMsm3JvTZcpS80/UwJxSyf
ST5is0sbn0MFDK+jbeuFy4hKEou5IuyIGbbLE2EU03fDsEMfPl1PbmI9tMLmJRht6sKWOnE/4dSD
FWZPpk/rM/VeexTW0RY98hhtoQDoOzN2cqRHcWQ9CIGUY5V4lMcr8gSaz0ZMmljkjpyGJmxPE1Rn
1Z8tNWKA77I8x7c6LjijYJL2EViY6r1tlgAIRrSWeLDSWHRIIKHQ3WAc4hk715vc+pNlD2V86tuO
9y/q8hnyBV7ul7ktrQccci39sfaFNr7YVs+dSzoMYuG+V7o6trXPPEJhPzyTOQCVnUmT4m/rgazF
LelbTAD03NBeGfjRx3chza+7qsgcihlr21w/vr6SIikKn4aJEk4NLT8ejILxW4MvGlYN/Gqza7hJ
yQQbeeU6cDM/xSPg8MGZzaLYch/tYS2TJaw+MXK2Hi37Zv4wzRWPVS3WzGek2nl8mpdH4i03JyAp
gudH0MI5aAwm8UneG4RM4816HaPmujfQbpEdqPl4Ec+Sh9EQtIcnXDvxEeYB4/hViwWSt6mUlW/h
4EabXDaCEBoY7A8ULP0NcCmTvCIl+getxwCQk/bymtrLfTLQVt2Mqs7vyHOKnpEMJAf4Fo6/TqzS
ey6jTH2sbTPVOzHzysajqe/UqHp/HafLBKggL3BCmeZKvSXhNngycGvp761kNtyNVB6vjWo9bu+Y
FG57a/Zaov2VCOXQqlPdL6iR48ezzYyZaO+v8Ht4dkAfzvhjotCrP/PHgh5ej/qSFCYDcRoJjKUj
3pHOKtFpMGdF4WAtTz7PjMZdGeHIs83GOYd0Q/bjZ+4MH5dHZTjvs7oaw11HSdp96kKpL8w7+BCM
2eMGJ1ZtufuM8ImztGY4NCEqtkOkUgCxNAQYAnZoDrTDk76yqTMjUskGjgKlIp1xtesgkmidcl8I
g0a3MCwSjTLOrPaBmHPDeDIGatyr3mqN9m7SAWeSM8AZH+eCoeNj4sAgv4QqbQ+6MFoEcIpaalbL
EGqeCu4lE0jupTZHxlZBEHEjIE22B3ReuQbmDvl66gbLmfXLi5xpgwdHqBrfsauWj6JvHX6LHm3W
0NKpLLjxhkBeIvzY/aRzf7Bu0zBgofAjkVVfPXsUN7Hr0wqhK+eYRhYhV/HCqE2/tKIdo3pFhFX/
zQ79PvuIfLETZHCGs2xvK1oiF50MypFg6+XkfG0tCiyaKl6nU9d4PPMe2PAm7Wdbf/SHsMm+kzNv
oQVxJlpyugBlWbcF+8/crKyBVJ9jWFo+2XdV5ZrmMbZsgBBMcWGDGfgrfUn0jNESzdBNiQz6k1RD
uASEffAw6lparGp4nKrJ2JJ8FyN+rLu1PUTx0c6DcAONCyVUkeCAIGyBCDD2CnmAJ+AuvkZ0bAmk
K2fodg7j4jKFtTaFJYtMdaxr33zqUP+t7cL8YkAMAOmgd82mkkiteNT+gTSd6M+8C73vOiJJuBRt
eUt6xNWAtmnagproe6IYoi/SVuUWVAhvkbKzL7BEyy/CiYudhSQlxOGzID2699q7ICLCzKszIGg6
M1rZOsofrbTzUBx1/W5GA7CiN8AwiswvUpDG+lblc3ElmYdvh9HL71nW6y9pMMQflJPfjZ6p033b
kO3STERwmJT/e+CU5EPUufkjbnxdtGtBe6/wG4UtlDXzKTcCAFGbqbbC2pj8L49Zf6Ls6oFNp/5U
yqKON+nclTs/MauPsQtUINh6YAW4ckDT4A36pna1jYpAFSRQed2PpPXaTT44DpgaZo2Enlo3xGF5
ziY2ZUmI0EQ5sOlaS0HfKaq9nzfTQsu0q+OS07WLpLhH71DvTXT2GyJF6k9p1sJV0JZyjyXzW7Wd
Cm+4aXon/BDUsbs3ujkj3wUbDgSLs4/I33VvjLhvzizY0wF3m+k4GiLAqSIbt1PXEo9lOcO6Gab0
EJed+6ASNX8zzTw9B34wn9EfBe+ler+aDFCf+IwD8EQB0LQYBb8qiaYicvqg7Z1TC36mVgQks8Xw
2rLOlRqmA6N6fmptFIo/m/BM9Ds44KvJLyfA8IN/XsawYDyvsOKmKmyf/FoCFPua6X+5sJBGm13Q
MWAwpaaqziHLzDtHfYUYvxx1kXADGBM0Dmj8ayXohDNowyiDE6qt+nOCG96io7Mocn5fAL7CjF+O
g6UmsDTl5qIT+PU4Kq7coQsiuk9oXSzqZsumUTIdkDpkxfr3B1tI0txO8Hfo7r8eTLCIGOA1welF
1FdVsXN8YdQbyRBsf3+ot5U04xxse2gGTNw3XlPPmyjwasItSfVxJ3FTDtT+EosdiCt9de48iCL/
+njLfE7wmpguIu5XNHAB2l6VeSFPs47Dp7/2wJIM8wQh2UIC7BJiSt65nW/fEWijkss0lzxvab46
ZlU6janzzD0NQ7Jkkxj2UYvxPTPmfzwKxhkB7r/SojP59aHloTWWYdK5pwgc6DAljH08/12jmn86
Cg0lEMeCtL8hg7u9bTXS4FpepAJuAt/wRWL6r58S1gqAFz7dDu3mqzuWNXCJCQyUJysE88HehGei
phEGNxoEcdPXWs3vtHRvlw/WdJYQLgt7SQ776+0rExVOY+46J6MK3U9iIKF6NhWlyIAd2rb0p0Ug
180sXr+/1LcfNi4kaDxwqsfl9c0Libl1Ys41+ZHZwMcVVixTvYvCY05d/5250z9cIi8HWhxqcNx3
Xq9VHsk4HKqwTrqNizUm9dV5Rqj3OXcWutTSwenlrfn314cBmY8SSwKu2a8WSGUmpR0HrjjlLrqL
soBjn5t+vKfRefdDe6F9/NokB6AT2DY5XuD5b7+0haRr8jnD7e2AKVNRSCwtPTO/1Gpub6oUsQnk
KMpkPVLXwRSduhvVKLBrCJcOzUUFvTWyum9Ye9lUnXMJW9zP3Po9L+a36x5WdDbzf1ZzJqmvbdvK
RI7JZIS84QUkn3USJvXnVBtsV9ho86qlAWX975+EePvtLj7a1JVwZ5g8vhZRRDl4ScgWczJ8g1pX
+zb9A3lT/Te/FexYcR0u73uaiJtmyJvPSpENu7GZOV+azmLE1BDC1uyokhjDTiKPN78/wX+6J4vU
D2EV1AvzhXjz0xyPYVA8K5+vvph9im5Tpl9EBLWbKIUyWY0NQtbfH/DNt+cudI7FbYkZKMarr5aZ
JumWop+gTuWEZEuaKRy+qSl5TfXCx/v3BwM3IpACe/63iV9w/wPcf8n51Ti83qUl6blm59PlSLOm
S/r9wd48aq5smc5jSrPUYq/9QYvMEHUXmhMxzZLGMkp63iw+RLrE3x/odQQA2k2Wy2XvRoDHjvq6
MCGIOtFu7Y1s4G3c3Zn0cMPagIOCSShei925ThVIiBM5CCPGGJpoXnt2C/lp2QarRl/iJAMnMEaa
Jdipc/159iA8m4YLlAXqZe9MojRoz5uM5nhc0uP7sgqq4t8uxC9G81Ay2NdQK76uRBJicWuv6LqT
NUN4HqHVnQs43vvInP510cOheAcceCBAem8ofH1kWr3STGtaODZH30q5fvyZgy0pDtV5iTR/Dz9c
dq+fFkZYGqyHFp8+rDUUs6+fUjkXtmha6Zxc/M6/4zmuTq0TBk8vgMgyFhObZs7lY6W19c5HZr1+
RZxFVYi60ObIC2lW2r9urU4OIx5hRnoSAiRp3mBQ42IrPBF9ZzOO0DhJuCLLkN9XsJNvggjuPhm/
UXKw+okRM0mI08UcClDEOVvwmobAK+r6AceU1YyFx7Et3C7dD/z+O6+fjJLfNCbyECBggdec+Tbu
CGkHKX15vXKDzWA/9S2J0dBWamwo3A5X4lEDjXUhbOMzxhZs9EkDqQEnNDjL1yQjwmoyRVbcj6AN
N63bG3vtJO4dMSUGUnyPlGZQ7HJemV5jmQSwpiZRqp4cglXstPVVnzlMobwct+dNhdkfDfScnMj+
FGtH5XLAHUPEDQmSA1OxHuyboV71bM/pIgPOSc6Z10MtcvFtbP0MUNxI+V4CXS9g6BRl8Z2aNH/2
jAbxk1sBUaIxIUz6QIQCTUnZzPzt3MDQeik+VYaPyi7Il7qmqfnW4jKX0w/Q8mRcZyJqadynVgfZ
MfINfakJ7I7vkLXkhLpGjervO9QixQb9CV93JYo6u1Qz+odNO/Si2cGZ1ZeMnJ4rRm5VdoG13n3T
EIVnEN5Uzt9ttxyc67YRCxQ1kk260mbCD3Lp8lmOnO6HGiUuZFYrda4Ud1OBaAxgc0nWZ3rn1vgE
bMBBQK7Q/gOE+8Xk2lvUbvxG3DhCJESjXR4bnQ7GB10lHLrJZnatwIRn3qzi3O6s23JUsr+IhCDk
TcbrEt/RLpIaLmA41Wv0Zs5RqbYjrHzolbGe6xJWi2uxhMs54g0qS0WLa3lj4l05KhTjMdYGpg+9
FugvqjYH0/IhUMx7ndNCYmoQgDJCkcZzR5Syzfd+InnBMF8kVNVIWvaGlzoAzJ63b45coIbYhWFx
Eq5nT2fCKDUhjUQ46x+4HoR3/syI9S8ITuYDJ2PHWjw4qSWfkzCOw203dAiJ//qs3EXjZS7fzOjZ
qf9c4rlPgLQka0doEUPbZVds1lYPEx+Ki+Qtanx3UUflkvtqdQtmbqfd8Cdq2lHtNGPsu79GM6TT
PYfSXgqJyKG28ysPWaJIFyS2BZ5f1fjuH7QwQeBftj/PHQAZY7Ar70p6zCMgliQ63ZEwbnZnhCl8
pkVtMGnIJ4cb64TKsXdpYEXJfVc2nIgwwU52dW51BNaKRn8ZtGcbCqBHZtnFrwjYuJY6Fw9umpZY
gpE2P333DSYZWwTOlnM/iRoUOJ6ojbFQEqNXsB8zBoirVQxawLviMM1BR+j0tveRwjzr0RC2fQXr
OE8UJiGrMITZvmYJl+kpbzvQ+ikHlNyBoM0+iADyqFNhmsRCExsPzQOAbB5UOv614//vnPTdOSlf
zU81yxtTv+ukLL93Vf+rq594+an/DEqDP2gzaRwYhy5qezwj/s/f1N7Ae7GTMF3/ZRb6C7U3+IPA
A2hnDpAMrRv2ff89KIUQTE6BRAbLWB5bvn83KCVu4Nf9mwROmmDobTQMi5WyeFWp2vDYC4zMzXNp
GlXcMOt3XGOjcVIiylLoeps5dl/hBaPqdqcx5yfjt+5toodzj+R6CGrMmabuWqPxCSp4A6i79Jw7
zpMIqK42Iz4+kW9Fj4UevHUSufKjcpz+mrTn/m7GQDTcJVVKMEaFNu86GvlLAtl1UOOhFhM61afl
2Uv1jCJT3ufQM/80RieczkyjtA/0Z/VXKg2c8tHOwsG76ubFPWnI3RGbF6ewh2/py/DW6jSzscpc
BSkyrwl+75x108ZuTRvpsz18Rn44MmsaVGFcZ3Yil1oAr/9dxrP9gFVu4a5tC4ksdq1h8ijiCR0c
86953SYp8KrjwjfBrLj54DqDdey8Pt5bGgNE6vJt4iXJujObhGAjYP19aiUPU2Znd27KBPPA/2Jf
wxwMi02v7eQAV5CkAaS09hZvn2edOXrlm/DHjuwWbBRlYG/JSwzQ9/lkkYMTNnI702ZehJnLaxUw
jxL94Ak8hIKGrh9rvKcZ76IPtSfDh7afLP/Yhr1tbNKulvk57xxWZg8rORwS23hrkJ2IWaDncQ9q
tWrIyz65QYUrY+0xCB9wPlwqm5DZ8DSN537oI7yTojqG9+HOl6aMnMTchxHTmUy4uNy3oEVWP0IF
GudyA3ikYjKnm3TnT2F4cKrC+lTP9lSs5s6YH4Lcy51VH41ecnAM08+fSFUZyseI6A7P3A7ssdrY
EkEddN2e2chkdsc4kiWxn1D/EvEcdXMb8eRysZJY+m+LzllbTe3czMjuIBOFELeRER/Bri9+HLrb
gHHvOsuqMcUhaTGDqppiHbuQuKg5On+15HaSpC6tcZuTrA6pzCduDJehTMtNIa1jNLTXcvIJah/n
lZdUN04zN+tBZnsiLSAYZeWupDJ9NIz4XiMxWrUcZoeeFkK9mj4Lc5x3jBDCXaimD6Dp3bFp8caf
3Sa9agrDPNbSyXZ92FinADvdVUY5u+0MVKCFo5OTA5S0G/0qORv5NB9NyIQ8oNx6DCYLAr3vrBuB
4VYa9wYyylTtqtLr+5O07fRIVfZnSzVxwvQqOpOWO2AXVxD5CrOK8dm6g/O5c+aa+2M0m6TAkSlq
jMCAsZtifRfH3+XcfPI0U9eA6QNuLxhABk6b+WsMduCADVME30vjxJ+Qk9AQQNUnBhTKKoHmb8lw
7bSpuOPs03MqJ6Nl8NjXRwgew/d6ERX7sc3N4WM7NLXC8IANsozm/lA1DUpL+aGx80vmJ1ezCKlL
B3MNgekhwbusMrvg5EXjpQuSI42KtfHNaRul3P2I6FRfOY9d0+z9SV+nxLGvAjnoXVvn/VaFDNOi
0HlykdKuxrLoNqLIv+eO2a6scnTxgIiHD4mB030jxDro4Vs1jJWxTfOvnRqBdlqQtm0SrLtCwOHc
mwOGDIVuS4ajauTdqjHe5nm4e+qebm3EwXDw2/zr7GG8RpEfnFyWyxN8MqrX0E5v4qBPD4h64g1f
hbiP4uZepVBcfS5qrsob7Tvpc76sZtmAQSOmGbAg69pyLonVuKeq7uM1D4ySBr9+hLXxJ9PoKGcs
/SPuC3GIPCilXQIFmQQ4clUYXJ6QWdnbjmX9vrfHehXNbnDMUu8Suu09Y3BzxzLhn6vUGL11l7n9
R9aVYWMpL1Sr2u7Tm9TCOBPyY783eVA7s2oGJloyvthaB9etNmE3GD2k8OJzF1nWmpEcEuFiVzZN
vCImyyMRsrt0bsnqgtAPQ6F0B//P5vQq5zl2kpvMjtkdGviYmSDiNO0fckTzO6uYww9jNl7XMLXX
WvTpI7SWR4nd7Co31DNmoZ/cyDpag3R5jwcMY1GArBCy7bqxPWLNtw+sNOQuNs6NJaJmP/rt11JO
civbuTuYvfVQE/DIC5wxSCjiXJ1lM5o3sbAvQ1Bf5V385GbWvLLyeWtWeKix0m7xePjiBCOjV+wZ
s2UtrQ3/zu/sfZek+qJ5dGiCFUlOLKP+lyyMxKcck194cd7iMunQsXrqGh3tVjXZie6430nVWOfW
TXFaU3XC2Dyo4nU25f4e2fJ8jKv+gMH5SSVhtu9zM1lHAV6NiTJ2bGbQEMMARSXiVtpCZ3C+4nHZ
s2AjQ73B5865jwtY98AmzXU+YIAwjara1qmM/6y166xHa7jSScOeMOaPwlGHMqyuAzWzsaYBvhJt
/0GBg+LlUnxVuiRtd/qUelm+VVwPxIEqW2Nbn5zVZB8hm4idE4eEEkdSzjdaEk6ATrqpNwNd2Fkm
MtrhRzqtuiGyP4fVUF9Aj7JyZTCcrbd+xsqkCru8iwyFgLdqY3fds6/VCZkjUyXTjRCi3pVDPVxZ
URnC8rBoXgZ85kIbv2JjXLbnMdpUEDANX96MOE89QdYob82oViQhTzn8cdzK0+FSpoZ/DLpsPmll
PzrarP8kMsiIDmEBN2InvdHuVjZEetQKTjWpA/ustVV98LUw1J2IPSTVzthfOlnejaVh0EAa98UU
D7eYS33sWrvdDdqtTs3sfvQ7jPx0kp0sA/ILwKXaWGXefGF5dQ4j4urndBbtFh5UeyTt2tqmlYr3
bu4mK9/HQbHAJBU/F/U5iIgmKU3fuI5gKz3hiDKuyFbwf7jE6m0Gxvj46dn5c+V70wdvNCCSDP5n
O5M1XqqF9+R5c7IxQtdc4wiSPpRRacKnWFwAPbzibRufGO0sHxEPLF3ZSKp2DfNvvmtOL6KD2Rbp
t7rN/pxMw7sEQak+2p3amkzib/BQkejk2bK9tBbIq5MWD8a5bp1Vbbb5GT1wdUiHwaFGKKNrYeUH
WNXZ2pAeNolDUF0gRzQRy2083BsNvs+z5zYfDfRQVT/pB4WJyk4ESYBjJ6zeq7Lvv2Hx+ZXVOcfc
xw029HDDY5KKs1vawb4OMIiQkLy2+GWwQdBcb0g1UOtYWsAvRpVaMC3IfCJNtLlKRTev8r6brgpM
TA5jJfQGrvjXPCKwd9B5Iu7qWokPLJAdhLHBxpzY7cc43ztl9F/sndluHEm2ZX+lf8ATPphPrz7E
yAgOIkWRLw6Kknwwn2fzr+8V2VmFyqzuvCjgvnSjgSqgCpkSyWCE27F99l4bX0UlJIfXoNVvHZvD
c+oouJnMgl9vCAgyHF7p3VLwyvpSZZbxHUHF+S7yOgu6bUwpQMSWriGbx+hecmfiAcbrRIwLkM7J
nTYNiCgReMu8T7iogOkF5ozdOGNVXzF5QCDJ5zQLq8RAlzz3eCR2sprTL5Ce0bIuDFphVc9fe387
ksP+wRrL2XctlUYV+7J4IhuAOaUxg221/YBDcs9v7WQXYgx8brJR2TRFsIrpfR4F2IytnYK6TazI
xood9EnH+SebQybqNlBJOwb43MqDhdEgyPoCZIC+xElvXYussLAJOf2+bB3vnGcVNsKRfZN0fWxm
2a6cu/6pz2ax143vUwk3esQPQTd88oLqVAVlZ0aJJizQNy1VZHZPiqCA/uyoOnY7CkJq3ncVPJeA
xZoRwp5s4ZPNEf6ijsdJbgcYKOdg6GBSbTJ7X3wKwxnwd7rHS1z57QvZ+yYG+4czKK/OiwPqozA8
THQroyHeNlHC6Gk5E8sGrK948jGX7J3U+izr6QVXjX2vOdvjWHFPMUdb7VZ8kGHfjlErVBZYrd1f
tH6dd9C+za8s3UDvllX1ssKLDtEyOeqURmjDIL1ikdEpMhaqgVmQhUAdfYEUhCMKn1aYN0n+Q/ZG
ZKzuBhCFd/lagtLV6TVzVi95cY3yDkaJuPYCbNLU1b8YfvG7Z0NsFFsTZhos41XMWB2HjD6RqXrp
RZFHpZjSHWgsPxaUMDF0g75WWlFeCDDciqUkDGjd7q6Ol3zXh556LOrt99ki18dOYYX0B8cIqfJg
6jFI+RO/udarmq6m3oQQ1KmkH/qbZqKrK7iNk2Z4QIydxgrdecYa4rvLHVvfHw33jdLQ3kxv+0hb
Z+8aw3THNVfxYkicNdsx8eQc40rbl9kvzeuoZXUG/c4YivZAyPShy61zvWY8HrPOC/EO6Lu25XqL
mc7aW+NMkMc2UKuKs4fXgTlBh4/kvdhuRqdHvn2s7vSZTOn3ppG8fxrrcRovbpO8EIQZA65T6bum
mZQni/I45hvwUsu923zvmwfctPf9Zi85HAMz9dprkphkLWvduBOifSxoxgu1odDDcdqGPJBeqgOG
aRbGM+1hcjqIpbJaN46EIuHH5SToMMW02U4R3z1ivnfeVZ/9tCQJfytZgLta5tAHi4ATBey6eiub
gma5PDcq2lNNapvWxioZ8JreJfnR148LtsrDrK3dDeAk90WupX3Ymr2ekUli6WtCSQ9XxE8uOW33
skxeidCZzUemagkULav3wq+JEqgtPcPScnY9AQLVbziqG//e96bioc4145edD9N5y3Ln1FpefzBL
JU9Tk6idvYj+WdTQQrze/OAOX1wkqPEwSfV7sBFzOA9Negfh3AonHOwXJGMRdxv1h1YDIq2YuS3N
rtB2I1uNiPoKBoAaz1dtiSjFNwg+i31dPoxphLahsd7S74FRYC9uCys2szK5d7AJ0yaivnsVMnxl
uph2S14xhtpLPVGa1RfqSJ0gtsVlvmK/Y6wYMoyo0n8HNJFHnefi+6wyTLmtXTMG9Rs0c/56IOXI
iVyynJVxj1v/jvYSUoCrCVcFDTNr9PLI3Hh0b7Gpsqzm3a2NhPhlqfjV23VcAkQr4DRwmfKepkIT
e67CKC7WWrzNklRvkAhdXjiqOYUWbgtXNfhnypLgilPlGJmJaweTrEINyTtoDLODiTXcYjklYUsp
SCj2bUGD3aCfR9mNp6GxfnXbdFG4oILb3cLc8qvB0z1et7R6KHp+jY10WD1LIptluZA804yAONAY
Sfzc50UUD7mJuRFO/yV13K+N5w975usOpjFv/2Fdd7Wh0/CA3lGORNdaigp3E9FKNoITptl8/Lk1
LU7C8aLQ74NeJSjcFp7gjnuWaVE+QV45WMaMH69ErrGGEG8xT2VbTw4UBOEHl63N0KJOC5/UcLq1
I+nTyDPSNnrqw+fvs1t8z1376InuYcV5fcwHZUZcIc88or/S9FPvxLTGXLV4J6Pyh+M8AI4h2Hrd
jMnce+uCjLJx6KL54to2nkBLHWlhiLfZkWHXweLiorPVr53QkE2WZfF2Jhozz84nU6Vw3NN5jEGu
c/PyFnCIXAdHUNzbRp4MRSAyknw5ZVSFB7aov9dj4z8WqcYv0rP33dJlEY7D7QVHxYO7+SMRWsOM
rEHfjQP1raLvgeYzKGuRU7oq4IJTPNNT8NMzuuuwmWfpOR8WGOu2/BiNaj+N3q9+Vi3X3BxIlLEV
4VD5UVfUoVG0RQQG5Fc7UvBZavI967Qs7m7S/43PRTVBg6jioZVshZ9GdY0WkBmAlnlq0ctVPPQZ
D+hwmHpnxeYr3Ptqms0TfG6nxVZL7/sycymfO9XzL3GSY3iv8H+2XVwTH+yjbHTZ6zvntjLOkOlC
p1jZ3ayynHaoODhwyskO5Ga4HSe06iaQdzQtCChSfkBEoj/mZccChKfaCA/a6O2K0bgDfQCd3Rmf
NfBAw67ycHvuek0ufWixYmvODncExePDnKDPUdHQQaPmNbLB0vegRJR+NxGB+T7I1ZUjsDh/QLH4
X+vm/269/v8mJPRtv/v3Svww5PyHotA/h5Z+/3P/0OKJH+lYMqDH2Dfs8o2l8Q8tnvjR7xxoEyPH
H2kli//5jzod/TdSSRj7fBM/oePa/1Gdzl835r5909rJOblMJ//eNjzpo5eR6U7ZH9bbRa/gG1iU
iuaBKH225Xqa9Z9A77rP1uiT/4J3ynLhz3o/Lk8y0lQ4Y62wwM381b+BFN1RYDDIYwWj/eKmcttp
5sDncqvoc7BHEpNjZ5NaJKvDIWh0SopgJnaME7xRLzTVEMokgWCi2EvqrQPfoBMglAnWJxREctqU
lr9trew3MwBmP23nJHfVxOeyJb5IAOjiuyAX+C55wKqMJtjrnNXzT7fw2JJ3eb7t+szySfpgD3ki
FuKGfZGse29ZWEa6fL+tlYGEwFlzauyV182p1/qOb5Oyz2Sp2w/Lr7cd5lAJj5B1pMKszGGTCeb5
Q6nadOq/GGDutJPHhGcwn/Jb+jGnROZ3i+8yWetzkuZxNaVrzzGXafZbRi69IXbEyJ+dmxFWCB04
zNPLQ2fSUBO4qbekV6pxMg8ugDLSpyXVHfwlsuoE/ccVXDFzQDOLiKRa9tEQt38zNTLf/bb2sq33
yKa4aTTJLcNRGU/NxBiIsxiLt1ke4EmCpHkZVE4CkoHkWfq92lR6P7uqiRs4GajTrupodkg779tG
nYLGE3lZY9bd7n5ytmjk/902//0npTPz1WVkHUKpp9ahxF/BHQD67ZKABO1pgff8cl/1lX7BvMUa
2d+1/ewVRD4dzjomkk507UNHtoM3TOvqUMTyJtQUDTyzo9YXDlL5Tc+UDNyyzkKL2A2AEWn/1Oq1
eMLBAy7WX7sIUD+Mg9rIj6PnW2+FjWyzsCGNcrevj7lfjyc6jA5YXcqnDHDc47xiw8cBnrohjL29
Rj0Hw0cNn0Q9uzxo+0Dz/eG73UCZqGTmRis39KNMiVXry1id8eshmxOqCYljlUzjTh10mpHt07Xx
P51U3hAMSV88zER5PtKZo58BROlXX3kcTmNhaCeKa/lTSq/1x35AI1868OaWWT4XWmu+OU7apqEp
5GduOsZXh3KQSMAz3jFOiBsoYEYgX6tjby0/k2TwPjaUy9hvGzoleCaMH8iLNFKwzjayRQSyXc6z
IDNcwlbcWTMVCYxhSXPoWYQfCf84l6RxjbfVnLyr4dYLI+MyHv0CaAuQKJ8bRjM8D6T77i2KTQ7S
qqzzQoDtSmqGnVra2rQvZ8YVJGzxrauz4o3faLlf18k60w5VHqa6bq+SotDPNh2dJExo7jjlvbU9
dPY4c6nC3Ek6xpiDpPVcJpqRRbemIdlr1ppfPNVbj/5Ggw/jDB/7cu0TVgdenp9qLr73E4LI3dxb
+SsWjnUOLLXoF9qZ8suYye55grX3hYbB9kRCq4bokPtvqKnF1352xvNoNxQQIpQXJ31zN3NnVFn1
gF86OVI1uuzHTU/xBPneru9m+5c9w/TE0KRe14K4O0LosZZtdYRYcCH2VEdAdfVg+X19VqdH02/P
ytYVkqrFYCymH1O9YFGQdXnQcdoFtc1tzTAG8s157e6IxdM0ujrd9zaxp7PeLfmuFLATnVosj0XD
tTejs/zQEKZ+xBKsvk1gdj9JL86PvCDJ/YoL5ZUNgBHOYqkiPidj1FRrcVhInu5bUTgwlKdGvlCX
XeILMvi0aLeeaFe2PyyNjcfmVagXa6Jb8eqsIuiqfnxwDdyZKKPKYTMyZ4HHVf7XZmascHSymryV
uUgheDy3q5wvsKgfWnTKq9mY6TfT4/O/2X63Wy2F/UEn539xcqlf/FH6V43N3aNa54mDYlCkRxsD
/my53pfd1IJW4IOKNT0FEYnAXIXJMjI0YwE6tQ1XGoIAEIMnq75MHVKRa/GoQW0l94nhweyE8cVR
LNdCfdSScOgc9UnubuWuqnl9zsBbFIcBvu53NpUs9Qp54izB6Nw15nvBlf1YDjbOUgrpn42+GJ5S
d3Sv+L4Q0iYsacBaZPcy1JOP1Oxul5nB9KNtJlbEhrE8lXmDmsinx72rlwWkCYqfCjEogeWt7eWk
pdW8TwZjvs5jb53M0rxlfbru6wJu9gHoRBIpgc3EytfskZOtfXP8qfnujbX7S2E0YtEykm8nyPYD
9aOIyaah4wHfXQCAntU62JFr6CNCI99n6GsDNwVDFkugD+X80cIwLUlVkmkNnU3DH5KJ7mtCZVjc
uOSyKMDNQU44hfxVC7xPVOh2r15aO04smrT6bqWpt6+7NblMRuKdZ48SmnLd+mPme0jiEpiqMjnf
UPPG8joK3b8vvGq4SEON8eQNCNONBsp1xONSCIlWXrrcZOd6egVKhmupRVdmdaixox+sZXps08G7
2zRf/dStqZxuAGOOaxDo6blcRu05y2znDQAljx7JcufWwVLUt4d2C7N0S+hj173mnj2qdaVruuax
BBBdeqUygiKxvb07ItDxnlhyUKe+RgYYnkwIONX7gBZBKXdufRA+aS5aWttfPIRwLD6rdbdQk8dj
UJkPGOf0ME3qy+0XSOjGMvYb6INZ1XnkF515gZlbHFMTACB4GsBqqWm9uN44x6urISF3VPNoToGI
iTM4xodoEhXLh0hrrJYYsD48unYqPsesL8fAGNstmpbZ/2JQzcfCazB3Ol6mZ2jvmeCu2ooHmXQJ
dMt59R/LtHb3WEabcNGtOy8BExQ6ldBxUSDPCmc9+aPpxXjNup+Qhc0RqioydDJ27oHFVxsO5aCo
k1LDQ7uV7YNUbXcAq28eVgvxYbNZ7SzL5m/7xOjdV2YB83m1/ALSqm25v7xKm94qEHC7RLbf7K50
Y63wH4E1DAU/n07dHnPKAJF1QUspxgIQbdtrR6c2B8LVSLbgXnAPfuZtX9GhkSfLyZxW0GMcbwoJ
i7em4DpVSPshYTbdGTmH9eRIUbDV7t0isrqN+QMnxHS10qnj0t1/pb60uiePK9owYVW157yrdzP0
VBQCrmVabrgHsym9e9dwV04FN39jQHNQmwvE9E6BmmuLhA229M3ANXpDHu2StiTe2YQCmxaPQi/W
gu4+vWF8nQfSilz1npy+z4Jls5ajoyuyjLJjOVpiUubN4bvIqluG+inNvdR5rGC8YZhemVSpxzT1
5cusl+mLLpvyRZjMgAKzggAO03X3rRz98yYdppXUTo6gOvCwpEAI8FlQ8obqPCdH+JQoRUQpi1Mx
Yu9glWfkEyOm3xy4d6bDTwvO/uCTwcRJj03B6ry7ZIZqgkOsP9klm2Oi8tYFgVZd/Q4R2Jc5eJK0
W09ZTcFkyuD/bUNhL4TznDoQhiczv5IrMPgpxamSrvGeY0BGYwFrRLMSzlK3ItmyzeZRQU0K5iWD
djVpQ9xa20efKWQT7dGjghI9dXaiklA8MjqboWasl71OS3AogUivXBHOeWlUcVmkL/xarN2kMC9w
S54iq2S40cr8fha5dRls8WYMLETXeZyCVMoyktJDh6xKXphqYQ9RIU3gzWoD3IL1iY25xe7P20HS
UicWHveZEuZXqyeuGnprU4U6NaQ7g5xVuGkrSXo5WdHWKO7/oiLwBM90ywvrTWnmiuiJIaKCVO9T
9nW/OpkMW6fGa8nb70Oju53sfvIMh8A5tDDmT4jn+iWryhzc0iLCzes55oYsP+atS+xyGLcQV70d
KjEtQduM6bUmQ7/zZaHuQRCWUeGVcb6NFfeEth8RInF4/MuN+X9Dnvj3a6ljYvhgZ2jRlM398M9e
6ixBusgnLz8W1cC1TltdViObx1PapgH1i9BrbqTMUjVHNmihv//if8lLcCt1TAfq3S2XZdGD85cv
jouMLczW5kdjbfrPrejruzYvM5Divnz6+y/1lwDD7UvRYMt/b7fff88F5riwHAANfKnW7OqYz4gi
D67S5ufff51/AxjfvhBG/FvdNkAU5688RtkohQvGTY9Ti2ZNgEgcnQkyY1nn4wMAOWIas5+xkVei
+mjdlBv1sqXZvZZkt8s1O706/v1b+u9Whv7fqxTD4wiG5m+IN/BZP+q/+Dh//zN/aEcIR78RMXBQ
0m/xVXIc/9SOIKH8pgs0e5g24JPFzWH5D+CNTzuzzj8iBMRilU/VPyUlIX4DoA08h8gtiUcyvv8J
8EbcGsv+NYZBAg5eOJ8cmqO9W2L69q7/l4RTi75uJonK7l32VAaSa8Uag+DLrSzVkQqiGX3rCOZp
Rm1DbrWX1ITXXNLc/WNIcBChYFRmG8LbgO+UbR1aOaOv87n1Jv65OvcEy+RW3TVsx8rXfBPdXTNs
+o/CSlc/MCa5UgEIjkBF+Btma59rTvOCx8zFC9n583ximd0vl56nZJzhsucGzT4H/6AjLy0f1dCY
EiBmSrvTJ9XmAUyTFBm53swIjfd9nkwQCmxejmJeuZKpgnoEolCIuAoyyM73+NDEqD+sBoST5ZeS
nMaRQdM9aP3UH+emovWVa9r6OHfa3iwmkH6m/7rUq7XPtHJk8Zs2t+8Kd8frag/A/iYL5wmwi8w3
uI7fLBaGwYoGfnI0gQPkokXaCH4V5HXUMjYIAwdHgqYc8JvnVda3yXjIzdw+0cwwPAztUlBMa7j2
J6+IOksaBJL+eXPa7QiaYtDE2e3TVcLVMwIQIM7a7nuvzcrYXM3l0hSizEV52zkZBlw4DELVDK+f
VsXROhTcMkg8YcNq58k9IwARxN9C2HaGiQiUyalg0+SnPSyAo1FhlpqZu33aavCOG8TKfg9juG4b
tSYn62yZxtNAU/ED621t/eHXVDj/8nE5/FKJzq3jalI/XUGXwDOwc8b8lpohr+F+axcIBtw7/flu
4VQ+OdhteKF6mWTsdafimLP7s+K+lI80i/axTvkx9gW53A9AzYIbWZ63JcvPSLUyhYFjGCevkE2c
pvq22/Jc7m9kXSNv16fRmUTORr80o/yGjIRCOaYnzxtdEQqLVzs0Kaw+oNSwNSktZR+rVe93jLnD
R2O25ac5dobFITs47Cq7m8DjJZRzp2PR4zEcfOM0WFhkhJWWzBRYQw6int6zQsxjuDXCftB4BW3m
gzZ9T3uhU74rqh1GZW0/WwKjK1/ugrzWAtQz1se6GY3brtsr7oWRuKwJvIUOAkif55vHjFUREmFE
JrQ+zotuX3M6Otiyj6W4Ixi0nWrGXBYkOhefKfvge8Q/q2Oamsr06mT0lEeTcO6IikPmWWXynvWZ
v4O+M+9ZW4pYdrI+TYbbvhBYutq1az/e3tn3CI165OoWptjOuGwFq58sp+fFs1qbKy2bXV6BVv/V
GEq/b2yZfkvbHNRDJ6CDzJLKj5KljMqddF8Us9wTFU8CbFt07NAUs2+d3v+SCg1dEzbVnSfdr5up
39dWgeUYM9Gd3Gab077TDlSELBBRG8qVC+iWWMss862yFVrLBEeI87HUrScHAkVswAj5pbke9o+R
V2Mnt2I80vzzSRzTx5ONtBZpdMz7gZwd8aW1qN7FtTQ3n8JT6TPmlFRHwO7t77gt8n2NlZi/o9WO
6GLATCBiBd00l8dFx4QlaeQKPcoqYvg0686qU++w2g6I0rZm3z7RkbYb7dTgjT6N+dnws+mZex6b
L16f52HtHnlbY1Ay1Z2/0K1ly8Q/aFR5g7i2Ovfk0YPu45ktvR+rU2cPfunlFAE29Q831/2o1CH8
BC1RDydWjdBRbIxj4hRPMPO8I878NZK8u78YGj1m3MSUyRXeSsDxsevTC0Bmq43713U76mOI6gaI
HNY7JdD0RGUTZv/FEEUEKsF+g+zvE31qt6dmxSkl3H6hBH1gBrSK5mLSm06M2F0/tbXGg2ha468U
IwHDe7fFTZkNBNdM65uJ2fZ+M3L/fl697UHVdrMzSvz+JovjM/06+hfuW5tE1Ollt2uaIY2HptM/
iDP1kVin5oleONrAFBcJYEsTDblcSn6xTdYP9Vy7b5Y5blq08daKNx45YQYD3wm8NFtot+bJ7y1Y
YFxvdi5mB3uRT6TFTcswX8jJtmdvsbNT4/ftQ2ewUB5JjPPK+pn6mat+/GLjwCwA/idZNOiqJM8F
LDpMVvBKhsEdZ+uVmkKCXj+rCocsIyv4WdtsLlhWgaBaXX8HL2p5LF0tRrzxLx025zzA2pslR4va
z0umG9A+za54L4fZfC6Gsr24rYf1ezEG9Ckn85+Ev2Kz8FDMmjXJUUQSsYRzluv3/dzK1wrt5DX1
6v4Bu0HytZVJfp5W8DUZG4MXoxcqpmO62CvWj3Gixg6xrwb9I/hpEUa4io7HutxmfL3u9AIiDgE6
F0MdaQgzoWOLJu70TH/o2EJYseslzaleNPxb9Pyqs12oStI3Que61wiL13FcvokV34A9Y2rGxMvt
GV/udjJyw/k0+fu1sEnq/AGGxMI2Vvdf1WbjpBUbB71X66QUh3TId4iLzp3Lpu85cec+DTRSxhIv
tpeLyFvWu6lr+h0SPhCd/z8c12M+qv8i5kSVxo3o8X8ejl9/DuP/IGIBjC//04j8x5/8Y0R2XUoH
aPokRgQlxBIWf+kf61XP/M2xTWAs3Oxuvbn/smUV+m8OLl3I6GAfLQ8QzT9HZMv97ZZl1lloQTS4
USP/kxGZifvPIzI5LIeNK35i1zB+T2P9eUROlSAMWsC8GoAgnRuvtjnkzXY4EzwRONdGZhju/Aw+
Bt3XVUqaMV+xtOnGcpBZr/H0J2EECcrvv/ge/44PPOtr7o3lHi09xfeFC/XcrHa3m5xqlMhVmX0c
EtzTOzpCE+CGGmNd4Ht2iZVQ2k40++B07bZaDx0V6rUnpxlVJaXFrPLSF844Pwlmu09C3ym++cvy
1RjKxAlEMrCJHect5EdSO8zcejSKYnpMMZ6eKAKhlG2tB5pBGI4g/GpJ92SrLr/jjxgtXH2XkaDR
HvOkLYYIF8xy6K2uuWyLqoN1sPTXre/nM8KTeoZqbe1UP2QPJua8LvC320+Oy36IzcrJo5z8MARD
m2MlW1T1Jc1se2daaxsWA//Y1TvjzJjx0sjGDlLk0osn1M6bS6RtnkRROjczYMVcjF9kW7gPSWOw
HYE1wbbS6YWxaxS1VRyN2kaUJAGgxeY3NjHTsiftyojvWeJhGRn5GkzspkZqKVmt10nSQ2zk2Z0r
FJjcKbtPibOOkYnJsYzcGRa5wEcWUAa1ibsR83ZCuwPjsOdg0Uuq8eAv9fgi6MoqAuYdI9Yw/1GO
rljB9UNt8/uwp7vNo1+v0N9yQrHRxM8Sw0D+mtRKP/lL/6KkQr5iWfjeL4U6UR3G2Ke8LLIlSRRj
tCOUrvRpELVFtNxtyotXVN2VrSk6qV9Wmcu53zikegfnQVpawv7Ynd+SPmHv0jVFbGMTu0M5+Yk3
OVXoGJvDBiRPidYVw2n12WcWjhVaoCPvAPBTGW84STTVWvIIFPNbyvY0tEdXHjNEWux4o17OjyuJ
3u6jRyR/15du+kXCzXh0qtY+34o/vkiuN5Fm19OdPbCWweZU8ZItxF4uk6m/L1h9r+xCtdhc9J+i
rt7dZWmGEGtad4RBMpFvxVCHyxPHEu4H741ze3reYJCGEB1KxlCw+/gRpqnifJjsYkdyD2ZiySLm
PUvBdkeGmnL6NDQ6ygJ5uzBt/JZj2x2rOK+HWX+k85JEFwfYXdtxCScDolhOt+bDYhtv2+C/6fhu
iMv4QER1unt9J2995p2s6/coveZeT03nFZT5c5q0P3VzwkxZELGPcVBiXijn2bvPSkEKzPfI6GaO
eUh5Mj7xN8DQsobsir55hnS1EIonP8SbWWSgU9NhMS+DP2zp3kvWPsXq175VudZOT+TySCbpw67Q
puRhnmpY551sL2q25mggE7mbdB92qZUdJTNz90iFpVcdJlzbfuhhcjhL6IISNCgNZ2TeGxuV1Epi
12qyY8ZFLe5abjOOq2mRgYP6VfSVsoNxI/pJ124KGHDPRuUGiqZm004UF0ZdLTtQrFSLgpn6Br+S
+33RLWcvd3eihiWAtGVMrBQFenNf2I9ZUxGRdCRrbpAcZKzgthdAl06FtAATTFO7nwVLgdmo0gse
0YVXoNi2567U7aONQn1ZWfd9JYWRTeUZoTGNqnJgl5injReTP61o9TxjMvhmJqsTNf1gHtct2WKb
f+uMma+5GKXVgaFm9wQLpCFMBbubLcZRAj/iSdV3j5bfW89gR8igOOznM5tde6jaTe0TjXV66JdS
vmFMmwJGmuVsC7JtPCDeaRugeG2eMqDAgDN3pu1QL7fN13JL1S/QmDhoZ9fdZSx6SmKA7bRfk+FT
JE4XOW6GJp85tYHwoE/HpALe1zRJf5eX0zsHC+aTsSRBs3Xo3GXSaFswtstCMUOVj58moc8ydoU7
3Ikq8XdzanxJ0XEPllbp55xdQdjXXrFn5qyCbOsPQ+vpjKu+F9duo0Kj1uaD2df6UVfAIhJfZkdn
EWsMY1w/E0XQA0Qtj8lKN/GoGf55rV1c4WZJ3GtToTukbKBanzBk0ue/plxNhILxsgVVy7N3MeYy
8i2zO3a+UW0UBMkuYr/20BsYQ5rVJFLGR/SStVRn5WAGQlniA1Sb9CPbzI0TA2qyW6buvFZVF+vb
Ovywm34N06pd4qIsoVxY1Adsk8iO/eZ/9/yxOqZ2/6PzU6iOcvlOY94U64YySINw3Bh9dvTovToA
VLaiKvGuM6YQuiqsq1WZdeBNs/0I8bXCvzdcU1U8TfqgPS5Z8bDyup6S1WbDoZfX1K223epIthxr
ntrYYMEy7GyM6JGgXpKr0TyNt02RehHEYYNl4nV96iaizicupQpb7KCnTWxycpIezFc2EqNuqTQL
xNIoPSbetukxUIB2+1Jx39O+LYO5KkwwrrdFuU29rD7L2sWJLTHPitgdDUMRKMq/2C7Jr2ibN0aZ
QZbiOkuj521lG7Axua82gU6s6qcijgI8E8TSPZs9LYvaot9erXZaX4karCcXY8sZkz9EBqUtlDBX
tErDqZDzCfD+wqO/xFG1ztl4UFRbxJA12gN5K+cDHa6IcNERMCPFQ8e66VZP3jblgAnwZ6JWxq7r
LztleukPXJHafhgX+2FQXsdmrzMoiiDgHVSsJuFMW7xAUoHgyPQ0/SoIg0RuQbdBz7WToaOyxCHv
NxIZOiRf+kEmYwk43cDVI8FYuHCnKosBzEIECUw1weni5NJ39nBbQHoqY4U4uBSvQg3NTooEZhpt
3jBPR7xK05nAiEazS+cw+CW3imfdEv69YWOsYE+1dfmOa64fY03e8JdakwPVo9PfBhugc7QWevHo
ZX33VPjFMrADxvjRICQT7UtIlXq6c7ihoElTy3XWMVL07k0XU+NrSR9dlKA23VXs2O1bJlN926xc
7JzBJmyA4y5g9QMj36thSXSSzT6O6/mQ5hR4QH/l9kzsq7oKdatRZwLq4As7ZLwFUN3XJKEpOm11
BLh0sjxKEpSoSbFI6oJzmLrfeHhvscWLdMZP9F24kgJ019argN9o0gWl1LFM+L3M4mUkbE0kGk/G
SBN2e5Naq3uW1x7FCTKbYpzZl9Ze2h3BlvFumTBLO5nXsnpm7/M4lNQbxyTebqknp499fmkn/D8d
nm6Wtz/A9WTvPjP3i6kc95yIrHb+J3tnsh25kWXbX8lVc2iZwdAOauLwnj3pwUYTLEoMoe97fH1t
o6R6oVCW9DTPSSgzJNLd4YDZtXvP2SdIIJ9fd4LSbIsdMvJvCmEz4l/c175Q3QsIDVL5Itva5wYH
fZMEz1NrLiuy4DR13lRtjRPIR7idCUxK9hLTv8mJXflqGkTK9uCk31lPk3OCIH23NJbzOo6AAYIM
83+4N5okJmBGIGWMaLbsodri75SV2tnORB9lcTP4CIl/8GdSV+x5HK9Wd5zQ00e4jl0yVdJymoPU
xi1TZXX8vjQTXiLUz3jRkqrX5tO63TUmDcWimglUZmS/4/iPhXUU7geM5/m67pL11mvW+qnW3WPS
0sl1opXYXfxS5K8Rpv9oay+pfyb/NjwDTsSMUofN3uV+RYYUOQ9q7SekAwhDzFXwAqttbCDC17ul
dCW1P40l2w7JlAFbkLE0F+WerEX7QCoq4joQI5vaz6cLLnG1N0S76+smvUsi5uBpWoy3KXTKKxaJ
ccsDyMPijsjiR1Y+lbUJXqEGikSR0mKxMEIE2Qg7oWLISMUA5b1OqFHyQjQUUPTv4syxV7rc8bRL
msH5Zeyr6cMp5tgLanLmb+AnzGo/tVa1/8/5///n/E8kmM5o+L/P/7dff2rfu+wPR//ffui3o79v
/0BAKwJqPVwVDLr4fb8d/T8HZzYzM8cDWqJxJf87HFMMx5Spz/xoq70/pEGIf3LSx0D/x5O+4JDP
rMlSpCgoOlXWd8OwXA2GWMJ4vFbF6o/xzZoRjEYXSVlNupTXkNmtBd0fYM4YuQz2L9LMs+lie61z
6tY+fMoLL1w3JW//ppWpc4fQxbme4QOBpQDyBawoZ5xiqhYX9ZoMr1ZXFEQJuE26HU1/2PtkUt2a
YBDpjLYRjsaR3BgSrroAC7m67aPCDqAtNXsxesV9lonyvp+m4dEnoB3jEdCtZ5AZ01kDhofNDPj4
FTkhdH4RG0C1wA895rFXPLZmj8Q0W0+swDMuNze6dxp7fRQybx81bnuPiMe5W8N+3hmT6s9ZzVRo
hvkfjI6cd1ZMQblJkL1eBhzo765bNISbVyHKtxX8UkMX/95xnfilKbJhCWgo1lsVjebej12mP3YT
P9qzk+5GYXGKN0Q5X7fRRJe/6b6gdgBpxADKZYDARCkQql4vZT9kgZDzT9k8419UrLYQ+cbkuknK
NMMYanc/kgrBCKDhO/ySZ2lx601jvDf6eD23BdP2TczMb5uPnqtpT9hc09BIdHsiPRp5dIeLKt2D
jMkgo9js+HBZj2KqGCfEHFlLQxLeKgvH2/SA558oPId9Bo0s6JFs3XnYP48LwoAbtxHTNQ3R5chw
X72jRq/OGJn7JzJqc9Ks0ALtaB/hlm9j9tqCluQNpCixb6RrbIFElw8Gdd5Tv1j9G5Sf/JcFEcjF
HIdk6zAAvSs627hVHKQoKvtXrhX7JJYAn5arV7yqNhn30qvLbUmvFh13BqJQ2MbOUO380Uxdd4eI
DFrb3M+Br8ak2aTcOCgKkUD/DNhjaIOmJeJtY6yKw/NMebOzmC486PNxtnH8pod5S61eiAoLGYRM
bK/W+2iO3tUnLRlAUX1rtZITGglTjOJW8ga6aN7P0vDn3cjw67peLeuYR7V3pIWef03LKL0XNaVy
kkXrXYa2rSYePTR+xgNJelkYddLfNJMDbAFpxnBVJo5L/zKOzwlz5Q25AelWA69eEzLUXto5na8d
P6M6trrhJnFrm65Q3YwPrRGtb03OsBJJUD1fUQxHF5+e2p2H3p6xaXQYR7e8TyDCPyJ6NXeZrXrk
bOOKT0jK0tWBWXDBYkIZtk5HB2TT4cOfNonn0KRP0/BE0mZ7Yl/t8g2VKtolJgBMuakli2eWkZq5
BhLqkhpwNw6FveMQL27IU0LRhJq6Dhi3eDvET81dERXRXRtb5tZpHPVjnuQcBXm255cujIlUnzm9
PzlOpqKAo7uxW1MZH5kvFedhHRG8FwZp78FoNPa4L5Gjk1NAExbre5kVtwb6uWdXlog1XYcMu8Bq
mpCVJEFhuBbVRy6F0DOqYr5Rq1vQ5c/shIyrZTSeo7EjCTwF/RwiGYhmkKwyrQLIgI25n7E6ccD3
6vnBpAn60nZhOVBJUl83+9ypbDHfSFzmM74EFRVIW/ZMJiKaEdG0OF6EJpf87id6lZRzXzhG1f1j
r+JhhNwChbk8r7UJ7ifoaXnN9dYazWx6atM58n62IubFJWCmXEz2lwKmWePuvBo3894Yhj79WJA5
yAxngmxbNi42t/+IZP5mDvDJ8PzrOmD61/G9qJGltWihvn4WF6eP//6v337y9zkAHX38RZ+wM93o
/60QcM0fbIxPJpYnHNjEQCHx+l0mQ/mAegXHD1R4qggtbvnNeWUxOcAvhfsD/D7KFqH+SWXwvfQL
sxW/iAkwsZ6Ev36vyLIMZ8Ye464w/NGJqJUJrulEz99clH+jo/vTmEG/CHMLjFZ8zj+xsPtqNGoo
yesRFXWzmd1uJU5jdAMcBP3ur1+Ksupb0Y+lP4/FZXFtS7gce3Qd9I3opypYkdKIxNR5TIjbyBOE
BCaWXannwDlo3mMBCuAwr7bF1AGn0F+//J8uJ0ZScOYY45j4KAx1f3x50DaePTkmSuJyupiF++Ih
d/7rl9C/4lu6rKdfwkZ0BX2bfdX5jk7XtsYyiFA2R1tOF9qPzxyTq2CAwo+8pvn61y+mvO845hYv
ZzENo4K1aF35ghvx2wuqIg6AM1KAozWp5oxbR9YBFpPinNksxjnAKCucGsByUdMLZuJY5cEN0w/Y
FBwYWzohIXNeM2KTi1M0NZA0fJKZqtHHyJznUbVhvaXfYTaSXI4i9unO++YJl7f6yUynA+txj2Bf
J1y1vTCf8WVDCl38odhCt1G3cTMwnicHcztwKH9eEBBdo7uYGD5RZTHcbfzi4qBifkkWt6Jj0jJL
iSr7zu7L7NGx0YSNdH03xNZEWH7I2Wa5Drc4Dhpg0QyuiPpeT2woN9jGx70qil8sN3+sEutn9EYP
RAwWKI684lyL+ccIlwovwbmOGS3sNch/26xem0PW2Pg6aHTaXTp9RYTSnNw0vqsJ+0Wog+jHMjkt
U5E5tzOMGMwNTng2I/XsGjI8p3HSB0ydNaRoBOZq+BdmWcl2kWmKw66JLr0DrW3wKCP9MSLLJkIF
PIXjEUtXuEtJP7lBnBQMMf7tkJyCKxsrXkZ0pdEvemuKfOxmKaivhMymS+OCxI85ngQmTe3rmoQs
WIi1RNdUzm3rfLFK13iJs7G9KytgdjsPkPGlkhkCqjYZjrj5qKDbll44+QXxVVg07U1FN3tnliRS
okTmFima9L6paMOmUyl3nIzN/Zjk4tmqyK9dRoRbRpyYw9uQMC6LArHIa0KZoksSo6sok0rSk2dG
GTeOdsglOpDFICiR1k77UK9oAIq2uw7BCL6hk+8vFhSYI4ZreSNn5RwLOgaAYpxkP/TlfCjJro1R
vtBxS6B1pK6aj7Tk/QfhROnBUHV7s0ZGdU9C6dbshuUGc1zdBH6diz1TrOatcmzqTExZVPeznRxa
3xqu0PRnGzJLnPvE7fZhqMBoh70rcdNE2HFoN/NjL/MYnem3NFjPp4d6yb4gKePcMKbGwQIxc4Vg
OiM3iIDXcYimB9Ks5MHUiawSlDnNx9462XVHXutndKuI7OqOGQaBrgPjGo/0q0g8qLBZ3jtsCToS
i9NelBpXfUQyrJp9HPA5ZRPgBdivGCzcbSMaXi36jJb18a3B84HZH9YxOHWdQetlfRmEOpc2CsPp
aqarGrg6tdbB7HmglA559gtjY1qCQ1M4cDKwSbxVBLyfMVnJ69lXHsmrjv9cwcHh3ECkM8OAdxWq
F1/n6EZ9Lx6TeRFHc1Q/QmG8NpjCPGWVsGjScKUBipx7q8KLolN6VwtkWqiTexuPwClnTW+MroEM
wtRsC9z4gwwouvQkj9AwDKPxFBp0yKUhHgCp7HudFcyAiRAnv54Oa8avjZhPfGml4RYsT5OxrXXm
8IDR5b3TOcSVTiTu5n1TR+pi24zJSpnhzyzdsbsfjFq9s257p0TnGwsZc9TQ9XYcQ1BgClOvt+Fn
KLJikkxb3suvWZBWhN4+SnfTfmt1njLiAWMzITIJyNmheSTia7Qth5gNAEAi+r1NFMHNzgtZ3naF
d8pH80tW4NYzQwkqA2OD1XoIghh1b8OMtOeI2OdQ5z+vBEG7g2m9D8Kqf0oHNd7VHNf9ja2zo1kS
nLtk4ZhBkER+cnTGtPIoj6tpnV4rTspo4VqdK4QZZiEwmgcIGMusxZBG/iKnRqBTWS06bKmDRQHp
rST/m3GfnasDXaye9j73l8SO91HofOxMJ2V3RGZn+Fqe7diGTebje+KwxtBTWjPzMoTru1wnbw86
gztXydQA/yE5uOg844ir3AEW4f7sSkVvYfT53puQVG8v9dxL3s3yAHu52LWmxdxmXICdZzoq3SEb
HJ+uligM9tHubfvOSWR2jI0o+tGzd4VOF8+XWPfu4vmLZOXamhbmSS5SflGkogW2kIzijD4znyyC
yx1g5i89zusf59GJb53WWV8YsGyJVIQQmur080HqHHSdiM50Mz1aOiUdOCt56QSnIyIwUQqSpY6n
tTuxP04MiBVrRoNzy7mCMoFKeGvm3fBrXfGfIv9vi3xiAb6piv7ENL79Ov3r/LXtvi5/rPA/f+z3
Cl/9QIqrQ+1pMcD5tan3e5VvU+WzoLkmBSksEIrj34t8ieAd5gGxppRzrtJNud+KfOX9oKkKQvBv
ADQIwlf+QfgrJ4PvikZfYOayyaD1PIKzeBz+WMWZDcmWarDboz8a2AHLVtHpAP2fXZEaal8hym3G
p8ju4AeIJB5OY1L2D3FtjMUhAwaSgbcZ4dnhC8O8Fg4K8CQcALOeoyACCpo84G0U0GlK0tt8lILr
bEy3USYxPaEyCC+ziTqEx/49lxQc/KrLyPP51GfV+tC1/qWqI8A9JQcCVAF52OkYv26DnHe9GSZN
MeBBRoUE1ooJcC9efaIDSXY0EvOxLKfs3LXomasC3cGnDWhiok8otTvfFqSBb6Uh5WO4Ir8oOsP/
pTNbaGJ1pfAvodPApDamSK6xygJKGOEJrlPnB6vVpZBKuFCfaT3EQv/E959Aqe/4aaa7dEIwtnkH
6nUfmUYxnFZQQQHkZH6ws5lYwiTU4B2n8Av/ZUzXJgrK3BOvbgHywalHP7AZgR4LAcu5nzo0+cbA
q0u4Dhtoisu+S3qfqMxKDXRl/BaJVJKge506Djht6lEDm3VkvA2DwsDZEzS5cVBrXbdeR9w2so78
eclyeE5jNMjXttBFdDbjNmXXiOc7r86NX9Z48oNZNeE5i+f4w2CxvK1pYRw+31+n3xV3dovUgz9P
JqShclMioA5cB2/9Hs1IeRiGZQTIV6/Uj1zkzsMRS4qthkD0icm2JYkI2Aw9mebXMPHjmIRKma1H
mkytQhpAIOhBrTrJPg3BxpVGlZ1XqzqNrdUTUpmOLJVJZL7WhvCcvawXD54eQePHoS+4FwA6ntOh
67a8OijDrrOTneXa9hNC7/y5JSn2iRzj5bWp4+7ag2R4SYm+2UP5ap0thag6l6RWXoWNFb+kCyxd
oCP2FUfWJPCwC4N87KneR5CVQcqYaGevZlcebOEDI7AbrR/xGVuhdF3f1nJaDp7V+Yc8N9UvkwMl
Fj5AUVRkHZKCto3MNMn2fir6+DbLK36XP+T13qmgCCK/Ujj5CFBsKzfd9VHWPYaFv9wk65QFii1k
u/YivCkcopsJcJ68g+x9uW/zWD3nVP+HwiPNYJOhlc3xNiaFd8ik6J76ynq1+xzemy1eSm9e0oAK
W0vKASGSB0liZBGFax90eLb2ibcCIHaxvqA1wSUYehgbscG1gMTy6r5z1uKhMxTijGUBLZBY8jxE
JY4XWJO7AlKQxkz2O5NA+TMW7CxHzz+pYMpt9QVjBYdE5F4zmgkIwdOM3N8iZC8oTVLBApp62Z5o
93lnVj2CERGmJHFMnQFcUXU3A737O2YI2RV9SfsegTkA0XjEOS7cTmB6JH823XiGT4lAtsKwnWbh
vo6rkdyEUkY/L22a0sQhH3jhq19rHx4KaSqMzGUFnnNJCcoIBD/zvhLrTC2UtiBao6ponhpISulu
GmW8G+IR9LWRlesXTO2C3mQT344cEs4r80Qib+3lYDaugO2CRZ5ZPaNm2CMLQsMNIj9oYuREQrws
sY9OLBRyM+ST2I6Os1xNYV09xASXvvh8fkUMwzqnJwRvbrd11qg9D7ihOf86OsBhohJHKECqxEY0
A/qw2K1IPSnrNmhzM744UGWYbeTI7s22SK/GPs2WYGzRQorUhIWqnLoLWn+cD8gLygCx4ju5Is2u
TRbzVHEWuEVqaFywkrL4D2a8MsWeU9CCZd7XWDbX9p58FLC7aP6pD1nMTYfG77ZzhvDtc2Vpsj78
hVFwds4rnlBSqyXwU/0U1Q6L1ryyRrVT4W0dQ7CsjprOhyycHaatnPIwRyzPNIBNi8dhMh+lrV8I
I8G8xUjNO8nHbL2ZBJHFaC0Nv7ylC7zcQkSslm1VrQQjDxCFWk/aV581wH/Kpb8tl2hl/mW5VLV9
/K/gva3y5Dv/INUOP/p7yWT/YNnUOOAVdRPU0b2y30omDyegqbulgmQF7b5FN/1bzaScH9h8JNoI
j1EjP8ZP/V4zqR/4TyV+ROVTdfsYEv9BzUSz8PuaicYXQCjCqUyPaC/3uyQlV1tc2pwJGi5xstsk
+jAiYrqIfBZzbBn39GMtqo0n3BjYKzA668Qi5oNEXLnpAnMCsLZn0Uf9V9lV1DCJq+SkuWxlgdol
Vt1HkdjeNWNZ64TBWd5yQrJOvQWgESsgXQWgropSTHJqnNAdsJDmlCwMcL1r0t6rtxIVx1stVhJW
IJ+Tx0wrxbuWMUc7yD/ylroDAHRVRo6zGSrTqw9m7sbtrssM/SOf4T0ZI7J7s+n9ZyoHXnhirSKx
uPPmxwh27XORyPmxTU11CjOd06Tq2SVSxyyzCtZUW3lnx3e7j84TEtB4gfSESF4Dcd1nGrWFX26B
2jvAYOdQhmbCakFhmBGZY1LJC7Uv2e464KeqjOGoxlh9WSdvvi8VuVTIrhGgg5WTt5HZ8PmxBIfP
vyZ+E3uuXXR+SuABE9zuI20TrsCvKdaYR97oeYhxM6uW/8yaJQFjlW2/LxE/R2uEN0D/lHc7gRG+
FyrCchKi1AwG5TD2c/yZT23prDQvU8RYpYLP7uc2esZhEurWsaDZlsTR3qrMSK/BEMhNOyVQkcNk
PKmKKKcSxLeGPOjrCbgSHVIxF8BBuK/5m1+/0FxEJF1FCelg5qC/YRph8z1fade9OgQmzteTlpNu
Z4KZii2ckyx5MAqTj1ABSiTlZ4z50+ty8pbsfCDabiK1GM3lZyzSRIa6jaPMjZJD0xc2yG3dIXhh
5yXbJy9WioVxWn+JQ51dLsbSf17y6bFfOxtdTwzNnGAPcjJYaR+QmFPvgP01gloW5qW0uAE1LIy7
tuBGz5A4h3tQYvymNTT5042ZQfNOuIkY+s73MWdcWsH9yN2AeoBv1le9q3YUW+SyWZKEKjKjdaRv
1HHzGSaJQOFo8ugRDtV/YCsnUwuwBhHkU8ND6PozX3CFqJPQJz/qqNPSGpBBCVMzCTKfPWs3coti
UeKxvK5qn9KESBF1MlJ8WjipFO87QZnHwDcLZ9DpINDhtjPv2YRyIEJrtnjJEpgMiaj6Pln8uX4b
9FfkKXiVhQ3DxpMdvwwLUXIgTphsc4tYz2Uc/V1tyfoNLGj4/HkLJ4bL9c06ug36YdcOp7fQGefH
SQ1ckkmH7X3GFRarSTBdzCB/rzOKIWn5XLieGCSF4Mfjhhngb1zlpcNffz4SlJDJAbQyF28BdnJo
BAtHIpPm13i/Bj8Fbb7BkRf0leGzQb4XxKkuJXkpbaIiyFuXh9OpCN9DQJ1AALaR0U1JwccRhHIl
3cwXqtUHPA9CcIMZioe8y2DDA6K25GU0ez41kWTmhnGCIn678q+nKvev1wa29Kb/jPqtyFsACg6s
CIKw28XqPv2MfTNajLXs8Ku/FSQWHonCEpDiUv/abmZjq3AItgBDMj6vQiE+7dduGeIdgQQ8YZQ2
vKFVsWIVJkbJx6WbMXOnJLwmODwOCrPkI7JU6+SVmYF1W+b8HmiVFqJxyom0B+0iGKlcerseuILk
hzzW3OgkugDcestE2Bx9mrKHsI/Ni0ve1K2Tgd7YezGi0aeOjEPrOA8skWrlA89Zxh1l+CZfVG4a
8hIKaKTnqHIJoVFlgdCSmT48WrEmh8EySegaJ0IY80TnYiak8O4ksamKFqvFDU5yH19r2+X2uyCs
GY5wKeWFuHF5SW2QWVvGLIqBOLQuKDFdjxxTR1VPnMgd4HiNvE0QMV6Kgg4lTd46Cnejr+8cgNbV
ghG75debNJs+ogzbZxLb3N3wni5Ytv1nEN8yvbIwIR7xySLP+bznLRPPXCB6PjNAa33/I9aGmJaM
pBxydOdzCr3sjZNseuzlNgJWkXSsb23Xe1vOK/p+9Bfiy+rG859ho/FF/rqkpZ1Mii0hl9xKmA3a
4ZR6XYP3lNlKi2LIkPeWw9OV5xm9zGHi8qp83n8+ccXoWc94VGYYdY3dxvvPlZVMbenACvKaZ5lA
NUZKHy3Zi43mJwlyS69ScpySgxX39juiPsb/Q1M8yHgwAwBRH2U8+6e2rvVm0Ai9OcNChGkEs+V2
Wm0WMgQFPMEeR2DE7zH4vvjOXOLlyPKjimkro4ESYhOBQkcVWq3+VVF2PSAjN5wjLkni5w9rilZE
JJzWA1g90TNbKcGMPWelM1FUPDXZMLPW8kyitGWJqQjxNNHyYK10PqqyeK4i2Z79cB7EtFmwBVKH
qPZiWh5MPL0RkRmSX5DD1FfsMd49eg8R8uyOChIcx5lGyv7WFqq66jBPE6MUxV8St7GhXpXhj01v
7gyzapCd+nbQ9m4gXIB602YoZGFMx75fTl081CSP+PSG70VsVYHv9y8lUqKa8cTeoHlyj/R0kxbu
Y2giV3tZHATv7BMVCMcT1veCVRVfhbIczmZKwCOoRU2LwzFXQmI6Tnsbp7HSoK7M4ihlg1w8sWqC
UKxM7bPSHH0MButeDECFUSBnJCG4E5YNujCQkRcHe83R57ZsgwhA7szlj/2rXlnrnTf37rlDpvzg
JjNyr9moOVhN8oslR/hY2ETvkjXzzq4ZcvdKi6Ik9jDge2nNUaqeiRDOMNDBoUfuoiKB9Nyw5/fc
qtIvi1t8IXSvya/zprMemozYG6PvJi+w1tbH9qXGX7ql9X+Ksc2huIG8tHKT7RpSQLYeB1USPlLk
WiOa4GXGzVN4NcZty0IaNhALeeO1cbrccL2cj7T3yv06IIsDXCN2UTJ98XW6VwY98uCG049jOAd2
kro/gTZaHmN7KbeSDIC9ylzaeb3dPiDMjyl/SuSvczH/DBXiYhDJhYe66268JF4foGzaCFqHAh8a
IO3QR41Mr8TaRU13afyBiWrrUBntugIDHaGJLFGw9gPCxOpdRN1wHopWns2uNY62X3WnzB+s60rB
GuOilbQjGg6GDt2guWm8nUE2xSZlxWKGX2T36BWZb3pnY83kHZsABi8LyjS5mc4pb9XyEIG+V3jH
jqbRtQeENNSsCylJc0SgEJxXMEuEQb91CAW29ON97P32w5AQhQRIUzxi2fGuqyXvv8CYMK6Xosbt
bHguPzdRu/7Ujzkjs9A0GUDNZQP2qK9eU80nAkRYjPT4CzO7mG3oHd1JGbfCaQhfow0Mms3aI/9e
9mmVFbjoXffdyIrX2dAtEklcCCfzttsbJH1pHwn2kwWJ+0GEWRzYXsa4ETbJdmWUTY5Y3J/G0v6o
SX/cmYBMA1mLXK9W8rSAQXgPW8DP27Dq5lerMndU1y2VYCLK7ZKJbNcz1b+EDSsKK3+LQ6ySdDQS
0z2KDvwH6T3LtjMZ79gTgS3XKEIZW9ZqSDEAdQ6KwGbb2+JxnLJcQubK24VaHJx8+piEEkWYTAsN
5li7Mfpg8Y/2cWo2OAuwWoYg8WoQYyESgQo95qF3YoOFqU0cDBTD9GwwAvHY9kjPpu0k4y0ocU4g
cbNznba6STqeiwQIxTOGrfy0goZFir9k+3XtV3ozgv+burimUWh9maLZ4xZXRWUZ54Rh/whQfSgS
/2cSBaPrqCluaR91Lzpt6qpovRsnK8kiohp4KjDuYWjEKLEhSyVEKNo0S/LSOfUgTkVGz+9sNHI1
SalSqY+qVA0NvhypDQgELKjwLuz9iWoWrcOGmXDlvYVNzqIepulULyzfC1ROGt3tylgMY8pqB2ZO
uNsm6gyBCQwN5KDewDmw6+pIN4cAGE9Fe3pkdnHViJa/ZyK6wke2C3I/R7g07c4eqEHjNqZeKydk
8nhzLPampKnz5SzkOj8u5iQv1KI4IpDe32PUpT775sT/bwQ/Sp+NvxWpQFm1NcsHxBMdvU8h87eq
EXcUYO3aJj7WDogBdj5KQQiH09S6M4u06sonMC6edVoqdtHtrKouO4+WOT4O1gjoOB4n/xn/PcU7
uhO2adlTVRvYiXeRtVJNJBEqPW0Jo6TQR8/SF0SrGrDZ2SnddsZiRJ/i49camTns/Dis+lBSLjUh
2GECx5mG/Hyvt5X3ROeDl2tHKwsXW01B9teX48/cK6kt1raLphXvtnS/UyWNPr4UxQibMKiRSYO/
zENHmF6GXKC1fZvA4LqANTJ3zTuxN8tj03PobmIOpUk1t49F2fzdO/p3XxBmHZDXFgoz9pM/DoQM
uzHWgQ2QMQJTlI2DDuyxp7fy3NGrIO2FMGfOxqbZfUDtVqcac+e2nHA7HCSMO6Ibu1ofJqjQ//pS
0dn57sZhLENEPK0X06UBo//9N/otFCo5oJUkPYYVyQnbomJK87Ja69C9Wsu6NuQC+dSxVcms2tmQ
Z5b8TYL2v/musMXjhpfondDim1ri9c07mGJHVqvZR0d79j2cn2UXJdvBl6F5K+HTRRxTwvqQqCSO
rvo6XEs6mV14G5W9vHhikLcoWDiP/OPLwghR2YIDH0Ks72+gUg0hDWorOpYGhwYgpTNa0oQsQmr5
MIckbVIzDwWx0VtjjOq3v351po1/+lZ4eTgGHmQELs5348MSUw900ZVrsuQcolPZLAy9u8YrUr6Q
eME7A/zRU5fMDY2T1Ae30oLQC6i5qc07y1lo024Eeb7xsde9l7qJyvQX8H6cfkskzn9zucw/zTsl
2AQomsANaCH61ne3USyxKeGSMg4qtlkDzWol0tkb9FGnnFkuWPj9axx4o/FUmivNk7mIWQcW2OxP
s++wPEVKcjqxV4PMoNzif7I68efs5ktEVCZHSmWCY9pMpJqA4JgGEtSriA5YgCZ7jHYRyUvHdSl4
dRKnad6AHEP14HEg+Pj8dv7Tif67TjRrBDfi/+3SuYP++oeR/a8/8Fv/2RM/2DzmQjCXt3W3mNb0
/+s/exIJJypb5XziOf63/2zJH+gImxrp4Tr8Q1Pvfu8/ez9oew23nIJj7krQdv+g/yy/bz+7ZBKg
DLCRrDBBpgv+x3UonIyIEADbPo0k6YVbM10ziO91eMbdMwbAjRgRMR+HQ8+ZR05zePYYyrz5nZi/
2CWNYctJuxehyu4lmplFfXMl/80O//06zbszBR+fN2gqx/l+//AZBxK/7lundLSqd5vMgnvYOKVO
NWU7aZJ8Ofi1IK6krpjp//Vrswp/tx55munHg421Cj3x53zg2zUasB2t8SFpTmEUvhZNSP9hGhL/
JvOZGm2x6bnXaFqxSirtmpwtn3hi+sM/zmu5friDtldibVfnKCf9L3OGnBxIbcRsm8p5cD/tmSDU
7VOoPZuyVvXeEjUxe0TEbdK5QNJkjV1xF0POwNQgRxkIj+oQVYDrbodhxVLgDZj8Nqp3ZgoNx3xD
u4VujJbbhjqjunK1w5QRyvDILLDkJKUNqEavzajwmPw48LVHFcereDFQfO1ghF2GecXJbK0Ny47r
1CVJZGwDBimNIFK0+3Wh/gkyzC2blJPDslndaSSTOSTZtY5JHSi0jbb8dNQa2lxrT2m4dbTh1iPz
CM2mYA65QbCGJ5cvgHpcZcueSD7nMPuM1g3LnDqgSWbzqI95D6JLErkFgCGIyBKgB+gptFuPdslu
GnDr7Ec1e7greJQecbJGDH0/vcQrnZaLHKp4V/buNJx0uAKJN2bZP84MmuNAqglgWuJIsadtFXqb
Muxpw29sh/7PzopWHUXW0uiIosScyKPgWEIrDht0TbbT0cYRCbwbyPJmsu1XN128XWw75X1WtvOe
CQ78tsGmUrQ+rdaRmOUekWsLyIap8kLT7kAbFHd2bI77TCSY18Zxy5PqE/aHm3s1AVDQkMXjvWq3
twcu5D12+/pISvC68/MaV3jSVuu+p5Ag0SfF7hHQwJoxkmtPOVoNCfTLA1LtyfBZpfoUMcUT0GTX
jr9akxjv5KdDPSnd4is7nY4+WxusznZCqDMCUngOy6fJHXwDhneevac4MlJ1SwLUYGMxCgtnesLq
nsz1pnHLagxCRiJRkM4hImcPl9ZHmVIJY/pq04Mp8JTSDi10fmsMqmpTlzXdDLiMbfKOMjcHCFKy
B951HREs67CqE+S5dHx1QACwlwL7eicSGjx46A9zy1PRGP3PZTik+bb1+wZZJjKEZNcT5GXsKlTI
N+MiyyXohNsDKBgpbJ4WBSH2iDaB8BUjLHVPsGyLaNsOcVT/yAAAQxQCVo1JX+ySPs6UiSOympit
oC+v23hKauSrqnrvKqpWXarihoL7caLvnj1iFdaLIf05co6S8i5dB/D3Q9X4WLl8Xq3Vn22JUSa1
4SonejBdqA8jVvfSJ06KjSoZefdzhGGiqVDtJNVU00qwq7cJlyMTDXuk1RBPPMg7BAmzsRnEPPwk
yPsSBGa2NrkZIf3+oDbr6p2mrm9v6SsyV9dLuc8np7NDz2XXp59iHaMfb+fEXJ/zThmwzrNJEdIO
QoPErnXLTiCXd3sYOOyfPRL5+EcW+ZjINyAxIwtFq1yn8bUEVZJ0yKXs8n1Y+oJbp127q6pdndum
k7xjzqiVAWyCylu7sOpDg6PvjhnQ/7B3bs1pI00Y/iupvceFztJW7VZ9gE9xbMfESSp7QylYQUIn
kISQ+PX7jIS8CNskXnHh+mqp3ARwa9SMZnq63/ftvBA9yehzmErzgjTJjGguRoVo4CELeZtoATKA
1BdjbUQH8/wSjGImU0miB+WHsAeckyVxs2buwgW8JG9t5rQBh8NGuAi5ehSlifEX+YA18CIv8a0h
ykNCDcTUy/6A3I6ZDNylsf4Wo+N34+ol8EsQOfFgYvbpHEKC5tRfp/H3VMo+A+bSL3OyXZoAxazv
VnqgBKMefV7zc5PUL8Bh06PViBxD7FK1+eRMAt5y7So5hP5eDw6sS/fIe5k0q07paqVN0W+iRUdO
F6uzeI0GqYz+yDCQtOKDGszjK8i0LrIgGxib2ZJERLGEjQUUPpGuFNRTLy1SRFDq0gn4CfaZDbds
lSPVotElLYRCQ0ZRLgWVTGEWgmuZGVF5jphByeqX6/NkxDo+G9IaWj0rBKE/FdT+/wLHX6F3c4CR
iGdeDhw/xSsgDCPbjzN7N4Dc/uE2gLT0E1UlvaFBxdLgxwgp420AWVG8QS4opEBASlXYhgb0qZ1Y
BIgWIQzqbxX7exs/QuxSTUJLQ1dIn/QFeegV8WMVC+8epRFZRnQOCIWkS8RqVF3aAaSFQEQ2mSx7
V6wS+R0Mn/B0oybaZRhs/FOE9FM0Q3J5rAQ6T0hMOCLlpXVpSkhxUQla35e+Hl4pqRwOKeKYF77X
z7UByatoSBkDxD/E2VNOdOPZQgHETKvMiSrCE5X6ysr/uKZEBEJpRnrel92BBBhiOElVND1DgfZW
6bM0WKqB/CmLIOTSlt0YbqBM3qjrPL0Ho0ea1gAqVa6S4KHfoyWLqXymC94PZYFuIxDUu9Iqs/Ec
BsX5ck1rv4EyX4VjjyWdzu4mdAiDxB4Z5NBHeJYezfMAInYJMPQynBXh6ZwICYA8skFZulKGyOlu
dMB5/f5Novfkglwv3UryooA1ZhRLxUVgFNrzhqTbKZHgZLjQltqHfmJegPMbL/qQrxSgeNfICF9F
kyIczQtCkplJ2cR3YR2QyJ6cZVQzhkyY+NSMkHVZohM6AMc+hGmBNgfSUVebTPXPDK1nvA+R6hhO
Ypqfr1RjcVbIM4BoRQTlbKilRH1+sPm0RD1stC7dL/RIkz+vQ02/LFQj/xZJMYRwdu5Rnw11cgP2
Ebp0EAPbt4aCA9O/yqOJsvkEutX3V6ce/VV6U7AlEoI6hKS9DWp96ZwYKULQetjXYso26FzSkSZD
5XK8VCLzxppRSjlFsEYp0OcDTXgektG/QOQf1n0YQdH1yLDcFiFBXc/I+hlyuD2kMOgTnCr5IJt5
2gfUQACDSfTxPu35G/ryZrkVBqASVf+mVyLJ3SOjV4ABO48XySaBRDQPvJ5LDBCbMABpo5KnhkWG
la5x0XtjEmV68i2WJ9o42SzWnj+w0tjrUSdJaIUyX98RRIa0eKGXN72fjA2dzc8IsxEBOlc3iyQb
WzUvlwaskHR7ecXYhdIdwN+VazYv8vkVuddnx+sX12uPfOLybFnRgCXBCKYEWNwhaAJNuKwow3JF
H/YFk9irSMU9kKqiMg3X2K1ox2wTnBcywUYGrQkxObKWD9pmtkQcDMXVcRS46CuwkkBnnlO/+DKp
Sc7zUpaGCJDT4DVf6/lZUFGiV0s3jgakS6P3peBMoxLXo00CVanhWnCqk4perQimtV+RrhFDV/5a
CiY2nblnt0vBztYFTxt402KoV+RtBtC/pl+LYETA7S4Ey9sTfG89TaIvVkUCNypCuFqRw9G8BCss
GOOu4I6bCwMauZYKSvlMsMsp4mbkgwTnHP1F6OdzTVDRpYol00+z8Uow1dlQZ+cGO7cr5dqtNc9n
95OK2V6R3JeC7/7/tSFuU0KCocDJyMvKu5WTlGOHimyWNnuF+PRjDD7/Pv53XzpsaEty/kluhtOh
uo8SrAZVjfiQDRqletnqwfnjN9U4USVJIQlDskG82MACwGrbj3v0kIBZwS7bhyAhXvUFd5z0khsO
32Htz8PfOXQHziMLXGJs+4HGq71Ao01ZlWBoV/dIuqrtBdM64TJgZU3I4tVrd84fmgyH7/DVXpjG
qygTs3HmxdFu1CQLXksr2HrBB3sW/pkJinUC8oC6gAIjRrzIB+3OBIumElX7TkutXVBf8A3NBEXp
yyT4fsULNqjPaEQn7cSbZtzn4/OgaOBbZcsSPP3qtT8T9BMKOjL1AQSCxQsvccE35AVQHXrnVQGm
FWUIZjwiNdv5vjsX6lXBZOF4c8uBrBCKd5wEHBKQUpBhmRGLbn/k3ds3tBNKNPQ+IbVdvSjlvK1J
QCsOocrQ6VGQzRPKopSV6T9cv9oLAuraKEEolA8p1W+99La8QM5cZPQ7eYGGORwVKUHo/ee9YJ0Y
nDQF+/CtekGlhtLRC2wOFAgMqjFafZd7yyJKHCcotm65Am9rFvDTIGDSaRIgCS+TfKBMRSlLvFhh
dhcE9GwRn6EYStKjeVTelhM4Bkr1VjUtfp858WPM8ppYEcYIAjoGkVJ9k4RdbS/wrAheriloHm/r
/sn3dH4GoAujka/RE+D5SdCHhCzwDPrbiwkUIruuzwBLAAcBZJK2C+GTX1/n19fgYG9Dp1eEBr8Q
Pj0evYauFzxUhy7PSZ87m730hSYUf/r59qBRaUoRR7e+KM5g9bXrI4f4/5+t8LEK/nY+bILB6jrb
P9/e4NNLt67V3FXz5oXnJHYydcvqg3I7zBs75OD2v8D+bof27hmAAxoz75+R/PFba5w7v/9PDO+J
bpJoBQLQ2S4l8rjNVaO/GrOyu2HfjlI7bSyJnxGoAdOvq+WhHXg/4mSv/Ui9n3S2HQdxYj+0sBP1
ItXdchQ508ybrjjZ1MaES9Ds4ontanzkBPbabuuwIax2BGc3p7F38Y93QxKg4fd21xdLEkCUruM/
w+veQ/uxqWPlrpbPnZhWNW3LbBTEn10tX+Bxz2vsVNMbeVm2s66GLx9stzUBt1FCZ7sBrNTYaz+R
dZqms+nowdvrmElmRijxdrYcr9s/HhIzJMO6mr16ujYB5DnC83LFyFZTv2yGWM0Lkahr3ng2e/gY
Bh/aAj7EKy994maLg15329cAfZ3GTL1Uk3Vr3vj3Y762wRnY0UNjSZiW+xxQmze6mE5Te+quUifL
WnOagp96DJd4U9eb2e18HkeKIzzh1x57QbpXYZU5pRzhgYEEkIp/i0VrbZIlALRHcDqm41Wyb/oo
A3+56+7Lle1fenAOSZZ3Np3b7X2LYrQI6rsuUEJ56aC8aueBH1J2OoLxa6fwpq1tjBygyH4dwzPf
kGdqLFVLSp1e7Gz6p/oNXR1TXeApugIcqQDbdx3/S6jfjqO+9QMikvapBpaCdYRF9jZxoH42d179
lHWivKsrPjpRJHoE23vHBJowCUhtV/NjN35w3l2mT/Y2g+bd3c1/qlA4zwmJCBzOEfbl+gJPJ2ID
8+k4Y+7xvpOmTiuk2BaCurr+3inap0qFQR9hxf2c2W7zy4mJCNdWJGi7DveLk4TsbI2hyjJb8REW
wmebcJIRP8L8+2qnrhfN6A3ZHndV2e7qka/OTzqIdpx8X710GqMB3B57XXToPPYypkQ5a3kFUe+f
hrPPZZoe65NP809NBfq5P2sn18Q3poFjJ3/+DQAA//8=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min" overlay="0">
      <cx:txPr>
        <a:bodyPr vertOverflow="overflow" horzOverflow="overflow" wrap="square" lIns="0" tIns="0" rIns="0" bIns="0"/>
        <a:lstStyle/>
        <a:p>
          <a:pPr algn="ctr" rtl="0">
            <a:defRPr sz="900" b="0" i="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defRPr>
          </a:pPr>
          <a:endParaRPr lang="en-NG">
            <a:solidFill>
              <a:sysClr val="windowText" lastClr="000000">
                <a:lumMod val="65000"/>
                <a:lumOff val="35000"/>
              </a:sysClr>
            </a:solidFil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Performance by States</cx:v>
        </cx:txData>
      </cx:tx>
      <cx:txPr>
        <a:bodyPr spcFirstLastPara="1" vertOverflow="ellipsis" horzOverflow="overflow" wrap="square" lIns="0" tIns="0" rIns="0" bIns="0" anchor="ctr" anchorCtr="1"/>
        <a:lstStyle/>
        <a:p>
          <a:pPr algn="ctr" rtl="0">
            <a:defRPr>
              <a:solidFill>
                <a:schemeClr val="accent5">
                  <a:lumMod val="50000"/>
                </a:schemeClr>
              </a:solidFill>
              <a:latin typeface="Garamond" panose="02020404030301010803" pitchFamily="18" charset="0"/>
              <a:ea typeface="Garamond" panose="02020404030301010803" pitchFamily="18" charset="0"/>
              <a:cs typeface="Garamond" panose="02020404030301010803" pitchFamily="18" charset="0"/>
            </a:defRPr>
          </a:pPr>
          <a:r>
            <a:rPr lang="en-US" sz="1400" b="0" i="0" u="none" strike="noStrike" baseline="0">
              <a:solidFill>
                <a:schemeClr val="accent5">
                  <a:lumMod val="50000"/>
                </a:schemeClr>
              </a:solidFill>
              <a:latin typeface="Garamond" panose="02020404030301010803" pitchFamily="18" charset="0"/>
            </a:rPr>
            <a:t>Performance by States</a:t>
          </a:r>
        </a:p>
      </cx:txPr>
    </cx:title>
    <cx:plotArea>
      <cx:plotAreaRegion>
        <cx:series layoutId="regionMap" uniqueId="{EF0F33C6-BCD2-4854-A3B9-B974234C0971}">
          <cx:tx>
            <cx:txData>
              <cx:f>_xlchart.v5.6</cx:f>
              <cx:v>Revenue</cx:v>
            </cx:txData>
          </cx:tx>
          <cx:spPr>
            <a:ln w="3175">
              <a:solidFill>
                <a:schemeClr val="accent1">
                  <a:alpha val="80000"/>
                </a:schemeClr>
              </a:solidFill>
            </a:ln>
            <a:effectLst>
              <a:glow>
                <a:schemeClr val="accent1"/>
              </a:glow>
              <a:outerShdw sx="1000" sy="1000" algn="ctr" rotWithShape="0">
                <a:srgbClr val="000000"/>
              </a:outerShdw>
            </a:effectLst>
          </cx:spPr>
          <cx:dataLabels>
            <cx:numFmt formatCode="[$$-en-US]#,##0" sourceLinked="0"/>
            <cx:visibility seriesName="0" categoryName="1" value="1"/>
            <cx:separator>, </cx:separator>
          </cx:dataLabels>
          <cx:dataId val="0"/>
          <cx:layoutPr>
            <cx:regionLabelLayout val="none"/>
            <cx:geography cultureLanguage="en-US" cultureRegion="NG" attribution="Powered by Bing">
              <cx:geoCache provider="{E9337A44-BEBE-4D9F-B70C-5C5E7DAFC167}">
                <cx:binary>1Hxbb9xG1u1fCfx8qNS9WIPJBxyyu3W1bEuWE/uFkCWFdxZZvPPXn0W1nLE6HvnzYHAA+yENsUlW
7fvaa1fnn3fTP+6Kh1v3y1QWVfuPu+m3V0nX1f/49df2Lnkob9ujMr1ztrV/dkd3tvzV/vlnevfw
6727HdMq/pURKn69S25d9zC9+p9/4m3xg72wd7ddaqt3/YObrx7avujaF7775le/3N6XabVJ286l
dx397dXvp69+eai6tJvfz/XDb6+eff/ql18P3/K3FX8psKmuv8ezQhwpbozkipj9v1e/FLaKn772
fHOkOTNSGk4e//Eva1/elnj+97S9s1WbVl8uf2tLjxu6vb93D20LaR4/nz36TIK9gHe2r7pVZzHU
99urmyrtHu5/ue5uu4f21S9pa8P9DaFdxbi5fpT71+da/59/HlyAJg6ufGWYQ7V976u/2eXy40tK
+EG7sCPDDROcs7/0/rVdtDxS+EYqKvZmU1/W3tvl8mH85aN1+Zer/3uz/OvJA6us4v2EVnl/+ZIO
fswqXB75ghlDfH9vFXYQLeqIC86EEuovq+0jdW+V9w9VhRh4eHhpS9+Olq8ePbDLKuBPaJc3Vy8p
4cfsIjiixVe+4uqbWYwyciSlTymnXxbdG+SNe4jtf5C7vjx3YIpVpp/QFDfvv2jlW2nix0zBzRFn
XGvF5DdDhFJ6pLTPGFMHKeumu01e2se342L/1IEdVoF+QjvsLl6S/8fswPwjibJNFX2KCHOQqtiR
8DUXzP92Yd8V1qX3ty9t6NsG+evBA5uswv2ENjn9L9pEkCPKBFW+2IcGOSwf5ogKJDHpy7/S2Nfl
47Qo0sqmwD//Hv592yj/evLAKqt4P6FVfv+/L+ngxyJF6COByiC1r/da188jZV88lPCJoI92O6gh
v9+2CRqA7j+pI18/e2CZVcSf0DLhf9EyXB8xKZQy1OwDBpr/GgRTao4U1UxT8ZTlvnjFvrqHt0X6
p3VVevvl+rfq27cj5utnDyyzivgTWuZ085IWfjBmxBH3DdHIZvuY8Q8tg74SPaP2ifyy6t4mp/e3
if1y6X9vjqfHDiyxivQTWiJ885ICfswS3D8yxpeSiKdG8TBGiDySQvtcHXTuoUWFv73/D2zxrycP
zLHK9ROa4/LDf9EcgL9SCSH5E5/yt8BQCAzJff3UQsJcX5f4y4fh9j9BXV+eO7DIKtpPYJGXt/g1
2Hl25w9yXWhNJEGdF1zvywki4utyYswRoWugmCdORTy3zQEH9e+39e2KcvD4M0n+PxFc/578+osj
3Nx2t9tHcvEr/uvlbx/FBdl58OgzkPpM2i9qPb3/7RUT0PJflOX6imfxcKC0vc7/eu7htu1+e+Up
dWQ05woQDgQAFQSd5fiwfgVwcCQpA2FjuASU8BGOlXVd8tsrTRGpQsPczKcMVaq1/XqdIqFyJlHX
KICFAbr4i819a4sZdMFf2nj6+5eqL9/atOra315x+FS9v23d5boi8KNRlDOtwFEwbKC+u70CYMTd
9P8UNHMVHXP54NOo682W1aL2ipDUQ7p8kLKv81vhOdnuqmZuZ7Hp2CSTKfRsRD7HlROVF1o25frM
JHLuN7nxquZkNGXRvi5kWXtzYPNJ1p9l3mWT3UBXRcbDWGtBH/Rk5/6qSCZd3Pq+rKM7XvJGXcYq
bWoelDRtsRVRS1e+SSjpxmoTF9LldWBHWZYXVM8NthyXJZ3PWcmr7E+vHSye+cqk31ASAPYzHRkC
ptMgbZoV6zECj/haR5qWaZ+oxH+IRltlzUlXikKcFGJonT5Z2rhLx3BJa4C9gkQpi3YvL0/Rdj1f
X2sOlltwn8NS2Mzz9ZeM+60iKr3PaM7zNOwslzwJjGFek+3cNMau27iki0USeMJb6urtKPjcspCK
RY38rFNJ1eaBtQ139NJIv8F3L28SLvz1HjXhnKM3NHxlfFe3fL7HKUk9ljju3SvPDYRt4kXHutkV
vug4CSrXKfUplyTqMDz4K9y+b5t1XWGEZqBzmPH54bp1P1ttPe7fxzN8TgUDqYv2j0RErIqDMUv7
9E0VYY7SBUliQfoELy8PluJAbC18NMXMCAnSSK9q+Sp8YjmkHpkSfu/pQjc8lCNR8haB5HWndkl1
cZl61NLXPG/m/jpvCVmSAP1aAaW8vBNkhOc7kQw9IFhEJRW0wQ8M0KmUZHNeRXeRWSrpjm1Tl9G8
9aKyNfPx7LsJVnl5yb8LD5gALln6xBBUJfJc+EQnUZHNxN0LNSLKdzNVC8130o19K7apHwn1yfXQ
ehO0CpTcJ0vmwZntkFpSj99xBHqQyTSRhqzkNgIV2J/7B7uJzZJJU3fe5yR1uvROpi5ZA6KcbIJp
TT9mYhFhWrYzq4PJMI5dyZQk/XVZq2wOK4+66tqUSemqTSOtY1flkFbt55d1tubTr/KtRidPhCBC
Uo0cztVBLunHyHekWabPk+scnID0OYGyyDRy6QWT44N3XbO8WYOmG+36kdZx/6PKolRpoThRxhdc
ILU9N53fsLabW2U/V4X0kMMzZK9lDIaZdLM855FE3m/j3uW3ZSYrZFRXl47KE9/LvCEPmgTZds38
c4KnqnQphnMx5bUtv5NW6KGPoYfmSrOVkoWFlTqoTxMfq9pUC//cRkx55Tbr2rro3zZLl9ZVODZz
g815uhzwnZ2b0s4bP19m73qs6+i0Na7I4rBcFjKfl0lTdVFQGaKiLuwl8YorVZp4KUPGzYSUyLxs
ptUZWUyBt+ZpNDbNd8KUAkA/cwCmqG+UUQSUDlpQeZAx4JlVM1RD/UlLKzMZ1sSXcMUo6o1xIV20
h9QezfvsWfQC3/WP6aSmkY+vprHjqtn1I/9+QIvDLM6ANgwCiVKGecXf3CKf8raMElt/qh2iqNny
NvfFa0YTPp/ztp+hDhMNxfKhTKZ51kGfuLFJQiT8UV3FzRJ5J64U2fLBeX2rLv1UrQBhEkNZmOO8
l6t5bMsNXGgetByuapfly4elUPmYB6Qo1qKVQvswkK1Mgot8dkAifjlNsB2X2YyPdiFx529q2fJ2
p3S/2i6f4hQAo3lc3vixN4+Bb6cMr7AAD9h56lUrNuhqWea3U6uqpt6ZwdHhWnC7dBfO5ZELiqJ0
rAy9OCqnk1iguH6s/CoSHwYyUDiZ9mPgjKGpLCDKy7nhMIVD+5poDYwvtJKcHrgGj+YqpqYuPi20
bF0cTIzoug1Gm9nilPfNiETx8oqH2Yhp5CJGUbepQO0+XLF1pE3Gko8f+dKvzjj2Yk1/rNU5irca
Gqk+RRlf4IQj67s2fq2RWOCnL29jhbPPgoJrpZhG4ZKMMAGU/DwdLXzoG8+o8kMpqrLjQWd76T3Y
JmmQjZK8rejWRdqmb4fWj5Fx6kTaeBv7HRts4Gs9FkPQsbg5LyJfXU/cFf4ctCNVw1XneyQNG7lM
9hxORJIgIyJK60BEiq7BnhD4oR0SoIvTKMu7NfIHNNBvMCPS9Rzw3PFpOH5Z4sO85nMUqHXGxB6p
D/QEzyXOVZRUY9Pqm6GvCECsdI4BxA7L6rcCIEucJHSc4LZTbjg+4u4R2XqqXl2a99nIoutoUqtL
syZdSneS1oyvKbJZWkJ3TTHUbXq8yDlH1EVjuWJqOvslolPTBmH0skjsILP5QEA+yiayGixIKTlI
1Q2vysVmFbvxu4Qjtro6XjfQebxfQ/cxjkESzdhblExriCNXrinF1Q0KjZdQwHg6yfWSbfI2vy1M
psVJOharHpp5tOoyaibclSZ8FXGOS9Xuck87vqt9N/A2nFEvIO53RDvoACCaoZhFUYQKkQJ477m1
uimnuujtfMPjYc1UnWvgWkuxpPauI37OqmDubLN80Kxa62PpWQqDTKos4nm7lIp28c5wrx9vgFId
1DHqjMP7+LAgm1SpZ+BiYizqNbv1SJsnKatHpLUOiAQLpl1E8Bd6LApVlLGAKrpOJ14XyqLPEBKJ
YRn+2utnTYX57ctKOIhRH3AB6Eoz6aPtJH+DunRchJpV470fSm2RHfbwliX+NOQhOsskrr6XFg7K
0bqk4AD2BGWJKKCm52onmQWErCf9vu0pPKSbuw4OhdoP/YisFlZuo9GzUxuogs9QeDFEFSALkh60
NLqp6N5q1fpRtos64SMZICCHKwfWBRWg9BD43VShUD2ZLW7GCqqcCr9CrCCKVnPE+bQawstSig8z
Z2a4Ira02InMc9SmXHVrn/qytoXhEO4rpAjh1yKAJEExPvh7RwU42Hoxmeb3STKrIgq6Pud1GI0k
yi4VW4Sbt03iVO0HhjGTJYFzTdqckaLnkwxqoB3v3MWlJ15HZaJ52Ix2iu9IWpCTMeqF2uS6ssW9
yIrFXZVWlThIttBifCMGSqZl42eVkXXYAD+2/W4cpT9cuiaJJhuokpT0ghNHzaaqnKFhNnW9iwI7
+c2SBUk1ODGF8ZQPCIZhceNcBJMnM5HtDKO9uFZFN4s4JBPtx/64NmNCI+C3KO5Ou0QDmYV6KcZl
QVsLV6xPp3yO+qBp60ztBqNjvpGlNy3vR2VZ+qEXRRxtuOgYDWf0p3YOVNy1ZmNSNuZhLIv4RDPe
bRpLxuU8MhUhx3SkCdvFXusnZFvnthQ3sxzi3LsxlkzT+6mbePfaa7vKu0LF0P29dEq5m0UPcWWD
2lqatO/MtBT5cZSC3dgtVvilDUxuOUtC7Za28T/TMvOr+4TVdpg2cJW5eTB9N44kzIuxpdlJF1WN
9DfoA2ShjqPSy9WlodrL8+NB1awtkofEr3gHLU+U+068Xrgd4NILdW2dvMPRuU6RbVWJutanvYnS
pLio5JQ38TYb4m4cLkYZxWm6i0Q59vIqqhhvTlUmktjfwVcUz4N6WAjKetH66WiC2BOq6TZJ5JZs
Ph3j1kvS4zEtUW3C3IwCCXao017+Yb1eyfYUzjF6UThywBZ62ddAXSboZu5P6k3BtMZHt7/opWmB
74hBV+/Cxbai+bz0jWHDWaZcHbMTOnme1uGcybzXx1OV0bIIpBjWukikl0KcmEsUldspmnFqMMxk
YmT8Zh7rsdZvs8jLxmKnc+6x+jTvZ+MPb1TGZWqCxpiVk9Cuk0n+QcdR5C3nQhQtNOXNDVL2a2Tt
JpHnHo+cLi5o2qS0eJtlY+ZH2zFDIoi3NqUce0fKWrc0D15B2JbEyZw2G1LnmfM3VUc8Wf3BYlZh
vTIrjLnpY79pQoc+GJplfp+igoRUJetLsH9AlqBpzIrpRdJC+rBOaMXVLkvGVWO86HJ82DbpvOuq
1GvKF0MX+zo0Y2fhAEsFvHHcGVfivnovatLJBeprMo1/qCVthNWKhKLJrGi6mofWImHyd1pMq54r
YTJwSV7vOZjCq3I/EQ9Ng4am2bk0BdIKR5/OuglTP5G9BwuKvuk/dFnVpxX05SWLPU76RdDptZ/p
dcspLF0v1wqehRU4vmo+R960Ophy3mp5OXu4VphyVc0w4IBCihLrNyP2MOBwJ2R8ksc5zpvPINwS
XJNTbdV1LkVkeChGAwIoqHVCoYsn74mW1uCVOvNW4aJuflRGD69x4RPGNXKR61+8lflrTlLnXT+p
2tvf/kXJ+/vAFLD8tWZ1iQ3QykuGz3mq6tQdpxWfIXTDFpzfDWLG45RcowGPrQnk3lB2GTq4Gjrv
3sWnFTVzJAOaJ8Os3piyt9DSwMoCt7AaHJsLQXNEgwlyMq+gNy4lw8VCx6T5bPYatDUiCHltL1PC
UvRoYW0rNdKTuffX7pzsTbt3DxXlBfSjRIontlIXq/CTmhP4aUzdukwiEoWLs22ITm4WLxV9dwZJ
+arevSMt/dxjlxByfQtNXYvnMNng8K62S9at7xXqLeOCP2zBrdBbj8gqz04XJvVUH8cEjBbZjmlv
EdMmi1fmox1h33TQrPlMVVzBfVoJxArh3QCw+6YFl72+kA3rhxhiHx9FRdZwKBe57r/qVZyMN30R
F3G6q2If700aTmN+krezpt053/tKmrWm08dPKjfZ4LCdKeU5XoIKYLF4Vqc56vxAm0WRGyC3zB82
deN1VRqSNo6wuMwSjPg3XVGD2yxAGICygZmS/lTbeA3nHvUV1/K5V5m/ywEWp/mMm7aY7EknLCnL
sDCiKIcgamPQhtTQHvcnXdPiA6BRFpdl0+O/czmCRJNkpKCKGnD5xeWQdxFIgdFlWJ0msR0+qCqa
0AVE87L6/miQyrPdxBuGDOO7pOj9bVGixJbbyasi055Kg1I1fSRqypBv4sLaPD95opOzrkhctuuT
Av3u3SxanAg+qbME6jjmjzHTWL+AwtpozKPlA098O3Y3DR+TUZ10e9EnE7dQEa+nJYdEeTy2cqsW
QpHlOidW9dGpXr0GfNXq4nv+1G/zERqgPVvl7dKU4cPBwXF/k4IK9YK0WMArG8HyygSgLGZVvuY1
dbhDzXTtYQfZt/CrPcmyUFm4aNdXjYvYaRw1C96x7Km3CG05WMNGihx8aURztL5lid6pCrsCxIQ8
L3O1xlMnxhQkfJz7HVIlV9GMmtfOyDTZDp3tqrw+5StVwHo/BxefFVWMx91cQMqPI+BZ5J2NUetc
eml4tpKUtke5e63ziKvunQCNNUfbKcq8OdmpsZZFuwF1QZUINEgg9UnEnKIlRzE0MP7iiQVSqapc
y0Ypo9XdHHMUzrfXZNZZMNE8JSkfzsZFlpF+ly/96F07gGmwCkvdGPUJ+Rb+5Y31Ag1kgqwyRHXl
IfmjvVxZqiIFXgWyNqUd60/KzElDP4upUMWlUk09RzvBbNt5f44pzaZoi4rGCxm0BfhvL/QLqt0H
MJJj3r0ncZPFcRjJmSfT1aiBbZp7M6RDwz62kQ9q4tjl/VCa0GNLm39YRM+EDXpUhwnNPqUWmFJr
aXraw8vLzLBwwEVPD4EeMZmaNk+S7G3Z1BkI4hCz73kV6zHdFMWw5j8zx2s2Afpfgzdty/WO6pG9
jzK2XpOUeLhjjuf1xoiDnSi36NzX2UZaRDVCOQZajC6Xbqb1NkOgrlFpyvWbJ5cFpkQmMhLDHowA
HvnwNZ16ceim2XEdUOaI/7ZPdDzaYCQV2HMxL5Fhp2NTrVEee8tKB7aYE+FDAJZ1p81C4N+CYP5w
Cd5y3XmeYtL46Wkh6QxKWgNX8a73HVuVZovOg6yqe/Eu3yesfE80Nj5dyWivaFYSsnXKCbEp47Kx
UZA0qveu+1TWkLkbMcUbzlIWrzAuERPW0EOxbqt/DDjP5qgjQST7Nchrto4ZN9U4rT6po4XlaSCT
tirLbZIViMbdXiHggdekl+MQIt4rWupl5wnjhfa/Q3wdNPTgcpAf4MEMyU3Rv9HKSYcZAvhqdp1Y
q7BrHccTomG0SLONJ9YIKgYQL0kwpM269+90d897u3V5tQ5OyP4I7CH97vrJemOrQVXtU2MGDhi7
QB+ASHp5qQMCHdFEcJwAa4Gywn/V2tZ/NaEa/bzxI0DJLz5C8snasKkjId5og5kVMrJKVqP2aQYL
W+EETPaUHF/ey3MKAQeu4T8+xekShXE4/Jw930s0cAb6NouvDaZq6lMq6YrH2xYHgbeLBXT+np7/
viB+DQHiQPmGgVw0B7xinjhCi5JEV81UoVDEOSr+qZ5zpLmnyH5ZQLrSdv9q2lcJwd0SqSnzGcU4
6mDBqchEXHWFunrKGGOyrKT9rPgs5W4SrT/ssjpa3Lt+5HO2KftqzefcITV47SJQj76zo+eejh2h
lfINipc2Eud+DsdisyHeqGfeXBX7oBqB6xDjU59HyOupP6QwQSL6GZFpOIoDoIWXrBvJat70Szg0
6Ox3suRWkmBCaplDpPoGtyM+InqZzhz9ZDju51n1Ps2+LMShGWE4QTiRmJjgfL5/OGVF3W06NnnD
ZdLma2ZaHoFQ3cqqfzd7fi9wivilofK31pMEhlz/KaUOyFk9AY0wn/SXT2VvipMmC4hFZrWBa9P4
h6g1SUD5U5y3QmDgsDsOYB/wXHyMwEQPaXa5L0sAyas1dF4gLqq2WQvGywKuL/zKTeEQGD8JRCDO
owgwmgd85jgvU+oWmZ/oynO5DHVZav5JOQTM90Lw70vBdD4mePhlEprMQ9nKiJVzH6v4ZA9FBgl2
BH7EmhIfL0t1MFvD23FCw2AYv/5kwCj8uOB5fqlIl0TZVJs7koGmfgorpvIVKjperu3k6A9VGZJS
OKYD7QpMOoICULQNO15N+iYbCZLgd/a1PyLylcLBYUIFBgd3CEdqw0+Bnu+MEMyLdJq0x25hJGm3
TE7rKYkexyZ7+2e7VBi0h7aNwfmaoIwWdLFBJ+OOludAETgaFIc2r8FIXTABToS8LSMZx/ZkBmaR
9jKa0pxOcxgxjMI+tk1Toj1zGRNVsy2LfmFdSCxRbbnxnQQFeMEnarl6a/ZzxlyhSeJvoqqkzfQ6
j5PB4ChPP6iUgqvJcITkBA2QTstN4WU1XOQJOGkPjyVBvoc76Bx8FDH1mF73LVD+qM0xKRlKClrW
FZ6MA/MAtC3z0b9UrIe6Af1Ury95W6wg09tjrhpDW9iN1D5d0iBvu5IuQdU6U6UbVesi64MvVEyD
cp4ETwDrEdlh4jdCv0vjr+BCNwMYL/Q8uWLb2rdYsszR7QxnBFOUNA6LqWzR52HOUGTFDQccN/xS
zZ0R9WmmiLeSFO3gwP/O+/7QjHPLm02S9yXoYDBDGtOPIEs630ah19t4JGXQcJxqYm9NY2o9buNG
Cdm8l7MZFvsec5B10gZsSpi6tF2L4cb7tAYLHm/g5zjmsEtcQ2kWlhRg+M8ZLXHrn0k1jewTldPc
+Zeg86L6XWVMlrNtVrUeQYeOhDZ1IY6YYca/rewM227GiS1uDogHxmQIARmp9MNZzNF4kZu2a5cA
Y/IxRZdvfId5bZqQ9liQohs/K1Lmc7KJBBqBKih1Vbo/KjBCXh/4+1HgU45sMKeP1YVfop5kuyop
FOuB7h/xHwj5Fb/OVbcWw71rFI8otdJFjlbSGZzUqYPBEVVSZNjYamyD5TkLxtwbzHsUF+tf15Xx
il2ZylgGSRyP13JOZbaZ0zE6TsXAT1LCl9PSTcMJGBZ7pZ1i4WRkcqnTriDgsgf3PoJTn4hY2jZA
9CWfM1cXf8QktZvJ0Ag9csG7YzThoLpYJc/9mnyyOcKxGmt1oca03miRJLAu8dwu05PYZjbt3yxZ
0ZEtuoVu68+EF/BYVd4ldX/NqKjPnfDi83Jou61sQY3jgEx8MtjebBIz+u90nTQ4b1Cn92nbRJsi
qeNgFlW1kZFpzvyFlbs5qjCdrmop8Gp/rkKRVXo34pWnPvrEz26y/THOY0T3jcmL43yixRLMJpO7
JCP2uhaYGQQFqKM28LiNb8Zp8W8Lr5KgGPry/eizdEtYR84EMUkaWM/jFwL04c51LX40munoHUjN
FOeoOm7uKUZQ6LNoTa8GliXprp4rb0vbsrtqBwEiBKlg085Tf8ZbN+eBLEc/jLSJEv+PdGBmPsXJ
iP6uZSKjW9vXHdqvtEzmYMCvjx78Tupy40WeOysNjklsBO2yd9PAc/RvpT2XbUebMPITe0uytr6Y
tCDnraKrh0Zyne3Gw3g2AWa/JjofTsHKe2dpzhO28ZH97uk48ipYFp8maOdr7+NYN+ND43lTyFK6
3LZtZhlOOtQ41rgsLTw3KeoiwEku12/qZcynM9XHTRwQWqeXM9VIxGj1wmHkBT/DL3WK+sxNjdux
umfnsiinAAz0BznOd6SPoktBET5D23cbUJ4kDeKpHPRGzpZvhe6qyzoR7uNcT8CKBGP3uA36HGcz
8lCnsawDr+fiFhNzG3BWVMcWBEbASNm9m2iVv2uTucvDvOvimyaZmz/cVJcsaKZ+CiPq6izIsD9M
gn1wgQi8KVlCMfnjW8PapAirZchus7JeAgyfyg/4uVcT1PVA3xkMN05r5vywdyQ6E2klbltfTRcZ
5hADxiGix6JRF0S916BT7uML5Xs2DQqam1vnAWxtfODGLJBZ27xVo8p3SPRKhSZd9ElHbfIW54dw
5mRM3A2zVX089BM9zupB3Toe3Yzo32+Wplz846YWc5A1ZfwwQyHHSaf7fgt4Ol93zsgocKLBJDmP
u4Akw3CqTF4fN8DHNIh1a25M1ZnPfKr5+8xF9vOwDMtDDwffDNqy1wIHHo4JKsWmmZruGrjXC+RY
DReea/NPC7HVMS9ohBNjoLkvk5kI1LIJGYlkqQ+eSubqRGNgFNZtlR3nsnc3OHPGsf+BnVFS8V2m
ePsRfGHz1lSJO6FzYa7L0i3ncZs120kj5aI9L9PLSpDuzPVifFu1kXvvfF/c8XxAcmDNPFyKuUTw
gGt7Q3nXn09Oj6fpOHELPsmvjiNVig3adpz8BB1jThfPRRdRlLh3C/OTGx+Uzsdm8bv3KPjxCYJN
v16o1+FslUp3hYnkBSbvlIddaYqNv8wVh7+7arfEnn2bYzTwNp5s3YQ4sUJ2bsyaj3XXixhN/7Jc
OCP6cxygysFalPZ9zBdTImeX05br3D+hmEWGQ72IN/4Qc0wMnHfvRQxn4y5mKZbUhHM5AYNvdA+q
3b/IJR90tyX4XwoUXVCYOroYvTp+C/anuPTEXH0oOneLZ2IQ0Cn90JZAMFmvs8vJZDgWKmuanhlb
s0+9F/VjWCQjeY0jSP1NyoahOU5YwUVoEqrPRWSdvzOkrMxZmfj1BvNlsQQD5vAb3yylDrKlM0NQ
8qi6tB7OIZzPXqOha0XGzl00ZsAAik6OjqeVaMo3fBLeO12ZtA7V5BK7TUzt/h9zZ7Zct5Gl6ydC
BabEENHRFwD2TFIUSdGkbhCUKGEGEnMCT98fJFeVKbnk4z43XVFhhyzujSmxcq1/4l2eZFO1g4pe
0kuVFU0WaV0tUGrGsaEd3Knv17vFq7sxPWythx75rcIyU3DXmjkpzgVYQVeGhkvnEopqjKdrUJy8
D63RSB5md22WsNFL5woZYWxEs0GLeBkACIZHkTGVdtSRTg7CoXFKauROx2lw3LMwlV7nD6u1xOYU
LKrV/fFsUuz0k2fDVBzacqm7KJ16Md77WlLkKIOS0u+CTouTsgg121f3mYWaJzBTu3zfLIa2HmYG
4DzU3dbUr2Y/V3VodvAL125JOY0Q7q1RA+J2zs0hC/HUFedBW1SfvysXzfFXi9tf66qKwI+qYlOP
SVNU74bBzr0hWpzcKU2A/77hffCgXcPRWMxqZxtjmV4VKaxxUNXAz+E6qLYOrGqBkHLHvDjWmS2a
XTKL+brIgG+jXGXqaCW24UWOp6cuUF3eGaci6SQ06SjcJTBnWHlnMIcbTfjKDas8tvvAtQsLiBAs
8dGQWvc6+bQmVicX89A0sWHtkik1RzOkhUu1JkQzgERuDtzUuVs0u3FpzEZvycqQSjrwA42uZSr7
TBFqPWeXylIGImkN5e+KyjXcdCdN1QhxbWiTM36AZK7iY9569ksyTR/XNU0+JKn8mPhS5AFjQnU/
oznZxV7cHXQ2D50i4XTQcu56KRezvOmsbNxPaeeHspWrDFzkozKoKlHdd3XpRF3nLMHoZTb1dRqq
z0MSr3u3KaEXExVfw3x6emiofm6jlc3GvvX71Lp3ETZ1UTaBQbEeWDABOr351Whk8V62de/tetdN
rvqmbu7Hth+S3aiSKT6BZiduoFXKP1VN3kZm3Zb7oo3FfV3oxs4f0uZSxEK7NgtlX0wJmdokPaS6
z1gUmWY8vdSjOx5WZZploLtswpHuT22/k4bT3KBrnIeT7OY48PtZV2FbJHloO/0kA9+oYrStCDXH
U+9wcbsF8P1+jTGkx/Dx7SGH94s6Xso5WJeiu2GXZ/PPnKKMspz+glOI79h1sv3o+k441jJ9zLPE
+AgiqPaIifxDo/vV3pVufqvlehdOlZM+6XX1ocxRqCUMbnvXjPPnZjaHJhBW0zxbetydR9OKVRB3
KvfCDND2HEuTi050kPdMTSFDuPUuZyw5T7ORfS5Sy/1YxInxVBjWfDXBKEdCts3JAsp+hBQwi62m
KRlYud5eO3Fs0bdSHLdFaH+2i21IX+pq27WV2X9qJk/LdqWTQdACcjfOqRZ11oR9l6kBDmxtADHd
OTdCq6SOBI6W5eK6lL35KU3ToQjMknMI8tJNvbDge0NgOdZEukhxqpzRdCNG+Kns6LWK5FzJZvhN
MrWlYSEtS//Ixjt3ga9583TUhsKJBplrx6wV5odNz7A31qkYg2zR5DshVP5pnDzJ9sDkuW/GGJVW
EwvrCkqxu8gFsUvQJbQ0V6of5afCHFQW9sCfU5BNpfo8DAvvCi8lc9ooQVdfJ9i0KYApnHZ1Plln
wPMEKVemVpp55KxfbKSt8b5y0+FiL8xvgUY7MkRl3Gpip7UVWmR9ncTj0JflsysnFRa91UelrrX6
zTi7xj2sn+ejVqKHC5xhTsvDTFN1pvrV8061aZrTyvm0nqhLtObGSmdDC8d4UwgulS7krpMTzgeU
Miyi0E6rNLeLaZ9MDhRPVYR5QZPW7bYxdgrjpc1Memqrjtenuh/r4p3ZGHMfMVXEBSXNd5pVhp0x
JuVy0HQzr+13zmjFXlAYbWa9lMhZtTqcNE/l8R4ir1D6dZE2TuOHTNvKlsG4plU/hi4brliiFF7N
K4MRlbm9RPW0xFVxWbwYSCfsRwYweVtOoFZWoJCf++O+G2WbPSVJYTdJNPOqQO/gErLqLphU2zjD
PqFXq09jOmrV177t1SR2Kbqsqt6JFg7wPtZNOKGDRMA11FG32Jqe3+ajLHgOtoaMa8xRWMNNTMjv
ufwvlea7Ovexz+sl8mWqxJPohJnefweRNbkRIUPpb5CtacRKXvAgb5ICdAwbP8N7uLqviR3ryjmg
915531qj97PnUc6plga1BwCnMdnG+eywRVCOh8cxBVDwrgYaSnWj576+2OGY9GNbHFZYN54WW17e
5J8sb6ynKhLlMC71xRq5vDUgpMo0+xAxjlXF99YgZObsHAS0mXXWx7FdGvRR2UCPw+yQtHspvZx6
rA1NVKCOujYRmdG6S5+KufgZTZRnH7LBrZZFgg5PILxZiNRrLGd7l9TKzsqdnFEC+WAHdeNdrbR+
3i7WSieGnZtiX46BYbe+vXOX1bIP8JHVo/TG8oOG6mcIzAZTXGCPvDs7VDDVq14XdFmo8tOu2DVO
76fR1KGfUcFqtpCiqzMu39T/Zz9LpluBavcIPp1dNXpshYXpjNe5sSzVTloVIrLJh6CWWnmf+2p2
Ty0tnBtYtVzsQNVzUR+6QUddqTw515iGpuJVrnpcUFrtKg4c9tExGqx1ueszbVY0CFq5owNlQoxz
KcShc+yhiuLKU5+0NVaLDIxkbo07r8gKEZHIVn/udIj1oM8nRoN61SamkS430h3tRNcfx1QU02ui
qQ1xoaM263At0mSPf2yKtX01Gh6iIbP16zDW7abZ2YveH42+cZ/LqbQBLN3YTJoQQDETTKju0t9U
nqOPkamLcXhCkoGcI+gk6r8QrUk70SAZJnonwK2bhMm7CuyWPvxaQQSqYLYKd+cWTnnWkr5BYj8K
TB9o/mSFpMRcxj7yauFDlWlDesBPwYNxVaIFFpq/YyvLNg9HALNPK0IK1kbsvx81veE6V7l3DKlu
Fx52ZPux5+9yNB9fNERVgIe5TK40ynD/keFyTt+7edVtXZdlZkc6GOfc2a7IPlEireVgTXZ+18xW
fI18M3lNOoM7782rQkYXjyAj65qpQGb6/MFTYryduzLlErDXwVq7VUM1dStMFIXw7wzgQzfy82Y+
GYAWWTSj2flttmz8jaLo7WNt5zmyyU7ct3HS7Aez1p+crjcC30UfmXblinOgX5cAX9Zyg9fTzCJz
7CfMZmWNcN/PJn86JU6Haq6vV2SqSTwrTtcvN8kG03Aoa3cx9zBX8L+6heExSiZrovRq+DCyYJAu
skcr6Vuagnrpr61RjleJaUxepItEunsEGvJhVu6AGnqouUpUCu5Hu0u9JKhowN+12tbx9p7t1QE9
9ZIFThH7yGSKNksjNvQcRRhwye1agQAEqyOlsysmhH+RpVfZbm0Vn0kEMj/kLJWMJkt+nfu03plx
r8J5EMuzS7WYLmqoOxmV7eTd9aIbRg4nRMtAkIECVWZzbZWxefHSsnCRL8VLFXRG7F80LTU/LWVW
nJUm+1s0hHmINs18wa0z1vAfrr+EmejzLnRnO1uicV7yPig7b4h3Y5p5JfW3s8pLbpiL2A/OLB61
OJXqBuSqsAADmmoJSlkZz5mPEiOoEIjcNChf9J07i4WhwDdxW7SxLqpdZeTpQyFUN4fsm3R19OdR
anWtt903591szcDQltnEN15ZWU8t6o8kmMby2eqr5qkbmiYgjgXsEaUnAq5kYsmX3XOizXpCb6W0
UKPzuO5GbEc9uMvHOhm1U5fzUkddVrjvhnFozoNo8aB0bnEFLuAetVj3HkGMM5dlkDifpLlaO2Xr
/d3ULeap6JvBDPPJm7duTa+Q9NRAPG7fe8feSmsnWn2NxqnKfHWohTmVd7h4s6gD3Io6lrodtpYY
d7QvxqVemhTN4mw8pfGinvx4MALZjzqWTlHsKq+MvyJ31iNb2MMHj3b/YNix8alBGf+k8xERaIob
hxXhCS+Qd60QHxzkNPDWeeMLwunhVo76Egfe0OgG78F66ydaQUdj2NWB/aCrGTN6K/JcRDN8+mpu
ze63HLAj8hSDSovXeQ1UajSPmlfa93lq2VVog+qfpKwNKDoUoIVlfV5G0P9uV0jwoO4TG1RRTRHc
PO6qJybappJ3nd03tng35GlLle89b9NMdS2+bMQLasmrFq4BIrR5Zy9IfJbDbOIhMSOr0dWQnvQx
rfL1hMB8GT7EmZrFZ1HbTXHMG68a7DC2O33QIm8S9txRvApUNnBt6DZy38gcPUIQaKy0jZ6+ZGFX
OJ2uTuOiQDEDx1Rib9v17H106nqgqLSyKFVJHROpLiL6PPQTkbY4SYLQxkb7hUyaNh6114JHm5cG
eb0tkKimsvmit9ri9hFEKwLCXS/npUhhUrOkQMUkk3gTt7MGW2iQJE9WvX0/Wd7ACJNZyum6x8ab
4ymPIIg95j6sTJnKb/K86ccm6mey74ydLq2xbz+NxToZS8C3yGwJ58amJQtWmVIZjjH2zdwPQay3
K7GdRPfLQ5qoyW1/G7VkNUWQxV7B36HRdx110YaegfmSL31cOqHSfc+d9r+m594y5LCGKEB0qMPN
yQsBuxn+/6iQACrzBh33wpeqkZu3afqucbFE3UGU925qj0jSJl1pGDCyHIruL07gLd28nQBCAcy7
xJzCEkIKvT2BTCx4o5LMfS2+n0D1XXlSFX7JitMaeLHvTOnv+Qm335nH7zkAnxuJsyZJfw92/dcf
//vwpdkib/pvkaP//s//teXM/vMz//3QVPz/lz9y/c/U2R9/ajubf30TJ/P72W0ZCm/+8FOcw38I
bPieT/sf/vJNmsOblJE3aQ5Y3LAt/UsL8FOew7/TRf8Q5fD9Q7+HOZDL4AmQR9ezDeYfitA/wxw0
lzBaRzdhUlxnkxc5aHF+T3OwBdkd5KbBvrnGpn8x/xXoQOoaeR7W5jBChchGL/5OoMPbtSToNHip
XWFhmxE+IqMfpAvG5LSTrifNiUkdlWJRJ+Kd1c3yBjuFF/3h1vy+iP4YHrHR6X8gtb8dC2mJzr3w
saj8uG6nXme28Yz65LIp3qzTYtzko+U/LtyBq7Zd/d2vj7e9Bz8cDw8QrjveVvNnh3enEWIhPZ3j
VaADSORwuAe5Wo2bQdnWCXOvY+1oRw1sIZn58OuDv60S324sQg0yIGDv3c3y//YlbTW9Vw0y1tPa
DcNrVVagyiV92NVirOpOxav/GJv6X13yn9xiwd1CuUX0A/J6ls0fa9PQD3k3e2516ipD3RZlOryi
X8hWestO3Sb68rcP6BgsUg7H6iWM5kd7cr5xxCYk+zHV4ubietKLlnTw2fct7SNqdOf517fV+Om+
uoTeOB4tLiIf3/R+qL5Lb+hrEm+MbaPaIhiduDffrWurTzTKuEFDxgaDXqu2N+GWcddOon6ssbrM
YeoUa71ROu7dsJjmCC4pRqgomfZX4KTqaTG9v1gFqDF/XISuwB3Nu2/zNHnZfzjfusJbnFfDeBQu
KPGDVpkivvRJqSOgb1ovQnlhzGfYrKXcuAhhPPAOLncaTeAR6YfjnLMep2kF4vWSQI46QepswRX4
2zGoQkneQL9X6Rl5SIkKtZuMm8oEGQShFKsRjWaf5CD3Gcz4Yq7eXgpl3NApat1udPXmQuSKujMG
R93GmQ+dvXZTIz55dO0LfotVTTsUgWZ+6Syhbh2qhBMhAiv8Y65P2m95mfqo5bZp/dTFOZ5OushF
S5rARJNifGGVqiwJjCzL1fVg+5P9XtXLfFXraQlwLxgmJt+2zeBbIeiWivdUTb261eZB3fpFC3+o
4lY+j7kpn9dOt04OGvY2VNMkn73Kmm71vidGwG9XypcCCNnlRideYIbUXdOVhhlUUyyfrXRQd1qr
GQ9iGL0oWzPxgtverE/14qtnh4Z4DB3bgOXvY6HuRrvjSmVh4xMoew6IjCR+NIHDumj0ZvFSjtxH
b524b51tPIw+D231Wv9xRiX+4miOusuS3t9BtwlrvzTZ4IW+0lIZ9DgT7r6v1TRPrDFMrWwer7NC
9a9l3mhZYAsu1lzw4x76Gfs8nT3d19l346w6oYxuq4F2z/fG3YAi4bcUnPHRk9TTaMAEpXbVYrNO
ptqxX5rek89pwjidtJV/5S+d/yhLgMXArjNWBqJWLbQh5i4dPTZ+G9mo23Fc5BxNDrJbUKRePiuV
YztImmJFIU/KQxJAfVmAaDnkOToHrnVmbAm8pOmO3+6/rQYBteTZgGsuU7OnpX3YkqVw8+1nmL7r
sFr0nLqxpkeNa32fusMUzYnv7wH2WcDp9no42JjkEYI9ji9M3boMp35GbNQqz7+zUMp1uL/p0pge
S0/Pbwb4SykCr8I2cS+dWmdSixsVT3uQ8iWILY0P1GVm6KfZGNxJYZPR6vTcQwNqh0XHJx21hAHE
d8wGogxSKBMZ1CmW5CsTvfQzjoP5dYLBm8I579fsdl40c/6t5/anh76up0NvYtUOVr1oAg2dFMQM
6mW8o4L73D9IK05xjSzMC7W/YPItQ2zr6oSRxd6Dslk3AsFROE3zMfYXdRmSRj04uH3CVMYM47jI
bmw445BG03jqdbONJIbPYFiU8U5z0uFuTts+CYZ4Eh8HzAk266ufyVDyM3WZkGAdba9JqgAgsIHp
aNYbrxuTVxp548ZhYjzXWercSL32Y8BYe7ky6rnigSsNmGeFhjzUch1e/YwRKIKUSrKIxe2f7Rhv
bATgjSLNcN340arxQkaGZn8gWUULyYd4qQ0Y1rxEYXhs8WpM/KDFogPRZEkthehfU4M/BNRldcc2
x1o24zrNjo4Ws0uvXXZY+kE+C2PwH6slBYp1E68SOKYmdbeqNH5UINw30jbk89JvcwH+6xfVeMlj
LhwKZmMWDzmI7m95hx0bKb/Axa8zxGSIH0+e9KFTfD8G+J295sFhwl+zvI5QltvJ3rAqT5wF+j//
t7WXxseq07T1tNLxeyeLyduaQ0P2am8B2RVnx7SsT2syCWcH0n3+Nwvd9Xl6wor04KZp+79hojHA
uvdIKAsXqmw+CWvUpsgCT3xDSddm/U5BNY17fABEcLzlpu3FbGHMSlv8zk3XrmZ/gsDn5yU7VvcB
o6QZf/K9OevwGsq42a9ek5WBmRSjDURVaFdVmY3cuiqWwYr+8GlxveaY2bX3zk0tPcp5qw6ofroi
XIB/nvH70ovIQXhX1pxpYWFMPFZ8lt0uK4EVdjDASXfTef1yWqzcu0EC6D92MHoMrqXTv+pl7l+J
GGdtUDgri6YdWSl9onsRgvxtKY1JnUZJ2hg3RJdQS1sHh0mQ+3zPBFl8cIbUv+pnHk1YkhcA6jXm
nJPr4UXLpM1/SIuaJaisxL9ySomIMTEL6j383XFJJ+rgJJK+PyBI8q7QMhCGg4ivDHI2kyokQlTd
Mv/zLom5LQ/uwj5Oglt2sOLVflmXnIL/rQS66Qixgp9jW/qzXqa3BJYBugH621fzOOoH3HbrFHSD
1r/WFqx0YFgdO7+5tuLFLdkfeybPOapEVnYRftQyjUqUUHQMCyPK4ftpGYQ7lYc2zekkYk1j+3KR
fl3asuuO0zKq22Gi960AGXfGWtbL2ZxNp0ZBtFS2usZUZ1qh3vnN82y2Mn1niomzzirJtc7TyiHr
LlvcOxtEt2e3cLCoVVhGk7YAefD0CQtoomznPBaIVUKot+U+1hrx7KQGhXXptPxqlp1CsfmnagR7
JcyMugjVVTaafpZjqn0lTsFHAzL7KuCc6XIyZq1HU80sC6/s2MlbfzAeQOHYnpJO1cW+g25fOZNs
u6MgQmjbxMK2PkpPsGF2lKr7eHuieY5Yah0rVlyJPuAGqylTw2CuOpoK0cuNz/RErD8a2gKkxX2i
tbwH3tDG+8nB2iTDbE6T1LsrC3ywbFUSPQKgc9Iu2X4pMi0xYN/plpMD2TwCURztRqmTTZChAirC
uKyyCMMMRKGDFgB2iR7ENVP9XADT3sBWTCG+WaK6UGtFiiiKc5mv8prH3941HpWlmFLtSWl+dtYg
3RGOpWw9BHkcE9Mx0Gi42r4cZ8F1tE5U64DquutDQPZxiMr6feJR0q0uGfeGnhiAfgbIq1LtqcGW
Sq5IadzVCDSbgDakC0DvM0ypdCSDUxVfsX+KvTc18dFfmwpEup2g15t+DqkKX+uu/aqVyztf2fOJ
dU1jgLLgnT9I/Z2olima9Cp0+qU6qlEgRYYuvVcQOfucTTTK2xROEx8KMif7Wplj/Z6nzb5cq/LM
zlcd7KrQIBysIfQqZ5f45fVYILWwuFXv9EUmH6TmjM9dY1o3zVTlTWglOg2kag+lX+IBnICTjTs6
P9BqANivwonF2YJEyDLQcT+Hoq4BlWPvqOXrF9E6PBAbHIoQM4EODXuGXuLFWrRJhho7cB8s47RV
kFSnQrBfUQ2HvLmMramdkLi08rovShZplVJtMqdjRa5TzLOPVZn2t0tBJF040XZHvx6jtqnjzWjs
AUS4+CNcE38zvtm3c+KKCNNnx5NHKb41/RMgZdBtje+vj/PT9OMRGAlQYQjGfoT927z6BzcR+s1h
zJtBHssabj8YXdd4aPtOA8tDUX5xNsL5/K0c/vq4P43+HBeFoMCMAWbJpPj2uIzkpZU3Sh5VXjov
g0bWR9WrUu1nQui6XVPVy53jpNTidtq63F8f/a2Hitmf//mI+rER8YtTfvIVLH0OeoJs5EiQAgMI
4inzgUC95pK7PdV+SCT/1GXHWLJ13iQcUdy/ncLfQuz+f8C4P2Jx/xH6+z+I2AGMbpDAf0bsfvoN
T1uu6e+f+h2y85x/eDr2L0Ns4TV4X1i13/NXiRf4Bwua2coHY7cJXOGv/gnZuf/AzcWzAn/ZrCsW
p4HRYstgtfnlFAB1uPccUAAPj93fgezeYjzAvlgxt6AXQGAihvgdMW/XNj4y9DoidS7+Nm19A3qE
UXfHdVnY4oauF39hN/qzA7rUCEA7oQPM//AyFVy1NGVFzp9AYWlMMylRPp2DwwZyTEBk/sKC+BaT
/H6BpA1yv8A5yYj6oTj5uUMOA1FkF7dJnZfc5wBWnhsPvZiywx+e/Z9Akm/rxLdD8ah51iBXOirb
Hy6tS9mqx8KwL3hSxEvm5t1RDGSzMmclwIQrKJ1b5MbN/0Np/JOrZCUJVoOnE9fzo/lobgvSE7XO
vvRmbp9qDwsZU2INIkRezF/mIoJa/6Hgf7tQVqDh42MysBP9CJshBe0rV2X2BREWB3LlNmahjwGF
mQaXrre2cpmeSTzrsXp06DWfAENo71RJn66btf+3PHPbCVEaN8DZM1yyJX8MEkbYAP+exPblOxLi
V212QALEP/53xzII0LQMljAL54cFleQW7fWy2GQSMhyONg21O1SAPBuo9OsFtS2Yf2+s3y8LsNcW
Alunp4sfANhskHQPzWhfpjj92psAQKNZaX+xv/y8dBydIkSmM/+mSv2wavUpR/ZvlvZlhcm95B6E
XeA5ADnGWrDL/vqKfvCofr8kkHIDjg5P8E+wvRdbBjFzhnXJzayoImvimEasbXg2gULPHkDji018
AoEBvroD/bVOKDKt01+cxs8r2MEgq6NG4VUF1f8BUI9JW4tjp7AvyhvMs1XUBs7T2PeupNazQlGr
YWUvTEaAhbwRoLDt5RVbohwVpDv++mz+7AnY0NtkCfOk6TTe1uCiBNesCsnLu4F5uo6yc67H5mJL
8mr//qHoYiCRoBGIy/thRSnpdU2H7/qSIR6+I6eHV1YrFaXec3gSvz7Y21JP+bZtUGp3g1w53E/L
V6ZDUzLqa+cYbA5PB5Lv59oqgV5n5toJSYn3F2vZeFuCt0MSaUgus7OFnNq0pG9vpSwAJ1Bw+2f0
qtkB2QnNYd/16s6ZNXDFPua5WsQx3qZebj58w1QrNcA1aDXDL5Gh7XFt2f6+VRAAL4Q0CxqnNYiB
FhkNjeavbhK/TfLNWy7Y+N2NeBMb52E5P7XPNfJFW1WWfe5LvdqT0bzum8zRiMTp0ZOS0bJgVyjL
vMPd1+RycXYGX/a+o/GtCBtC4BrEVcyDxJU5vK7MdK+411i6frpuEz4htWm0qb8moiRmmkUj8e2X
luy8u9Jpu6Oe8zHMbxYcB5+L+ty0TrOJpWLAk3LxEts6dzk3EFAtX26TrATuRyHlPw5rquUhoH1r
IA4TfDU4YgeI4MOOhGWXoehNxsxyDmXdcgxEFxcHi9AtqnJdD+wJwBnnvyTCJG1YId+RtsYd1oMG
p+WcZ8CPC7rsCkiiM0BWv5FQBakNCFhrU56JaV/uMDiD8ZuDNsH0F0n20UBFCAqzWk6B/QTtwGNb
Nqw9RLsvBaJTTEe5KV4Ww+9fe1xU7NDTJF4IXDE/yzXGqdu67V3nMASKmbwpnE9Ib6m/aAlmX7Ch
GothPGhWy0uqcIgwamshVgvuaAyyv9hmdoiJqHkFCvAi9HXGw0DuBMDnHLt3fZ+sj+YEQCn9DVuv
HCB3PBv9a4FN2Awc8tZ2a49sP/Q2iH2EZHcCREvWCTCRb6nyxXhYB+6bPeoYDr7tcnj5IWR6wggR
45Kbs+XHDsyJrsvKJlYJ1xKDyuqe060x0TAPfkfxsSurO1I6HbVDCgxPIerSuCHNj1VT4It/cR2C
BoMlz+UQTs3m/pv0GGBIbvVSQzwBsWBPwFMmKu02JIqpwFuyAU1Ok/L+NXqyJLtv7FKqVRu6JCr4
i7ghZCtyF5v9ZihiRloE4qzlKdf8x16P+VpvY1eUZgGCGWi/A0Int6RvBIhmMCAlskJpJev16pZr
gmyrEi9TA5zlpKNvBj3ZgGVEZmV3jwHIPK7rnLiRmTj2x3qa6gdvzZZrZCFlhG63MYJcKw1vb2R6
d85K5CyojjlMXyp0ZvXajJHex85DSewmsVaOVxeBSyDwjad7+qWyyS1G/eb7m1jMCpXQ7HCp1+Wh
IPF4NzaplOcCmQ2dkVOgfNH7+v0gexC6PB6rLw2Sta+evTYnYbrjDfbysQ4XZM2YNQsqU7iWFC44
Z+ARdHTyySmLrt/3YnE+q9U1IhCn+qrpISj2myGeVLdRZpGR4xfD6NncIBs3Zvx1ffoxIdQpcBmj
rxcndQ5tvUCGLIPbHtBTOc9glMN+AZX/6BAFc0bdhGpNzfb6sS7bYieEuYa9gUo+8mIxhUUx1x9z
smQGBNVpHxWIpA9bM4qAW5H0j3Oj0nYtPSA6NZyklWcOW2EiChvt7B1AnnZCDYjTuUv7/SLG5Qty
x3mXapn2fvGb6ikrJjvE9zMEst6U/3ALgVt0L+5g835kqxbh8k/DceqMPZp9vsjTbmyV6pR/K0YR
V3RWakTbEN8MYdH6IBlBB82OVYMnL+crOl3vaFrGIqIaBJxw3pgD2bjQIntM0pNH0FnILy9OI3xN
2s6smvGDLBwUlATE7UdRYMdL9c+l2zdPfgk5mvmG2vdabJG/xXmgYqvesyutBQ9+Ta8cuyVFGIfj
bnYTM79qXL++1YcR+Xk/sKg1h47sZUH7dqOZOa9Ev7GIu0YOUKcO0UxY8CwFukO1HZChbgRts/rG
w6KvLFkd/TEpu1hZdt6ohE4mT6rQX5K9ATjvxjAVhFk1z7Fhq1tc51r4DVceep/92BsFxFBJ2tHl
O+GpkxvVH4psoAR9g6K/kXqaYo6CSKOFc6bVeJikvRmfUtEebWXn6iiMQj5LyEFOzZ0AzYuyLp/N
pk3o50BbgZ+bjTIixlJWH8kx8+TXRU42hKaLtLJ0hx6bgz1/AUxuEySxmvjNd2L/1KV+f8S4liBl
x80zooPI00/oXl9ybBI7YWdbsNNC+XgqV7IE77NVNtaRiFjvZuoAwBzUnrt0nttjrjnrHpub/LD6
CdY6RFrzh0l01Z2TyK9muT4puPh3xWAOR+qqS9bx/7B3XstxI2m3fZXzAuiAN7colKUpGtFINwg5
wttEIgE8/VmQeqYlSiPG/NczEWO6e8QqwmZ+e++1gx6jomzNLwky1Jcly9R9QtKnveGOz7cdylNA
/tdTRPbSrJjDDsbDyXWobI4mALu4LhGf5k0hRaIOA8TFC7tr5iuyR9adCxcDVERVSCN0OQtEgpgn
PGr1ONXbyRjKq6nv7fMC8P7cGba8qzIfqGNjiM8QKsttM0CqbwJ3JGnXLmboxGaGtO9bOHHSHtOv
XKDKVV3J44KAZZRXvn2a1fgpbjV1r4akuDVQCq4wdDkfCiKywKFQ5Nest4H0MVvJdWDP2VU/OdZJ
CxQhu3RMxEczU+0FCI9gW2eOvGBEqMWhPYiq3xs88nYai9kxIlBpxvAYY2/aAXSz3rlF20JYtJb7
NkvjS32Wy+2Q6iBMx0S9l+XQyS1yvJ2dCMVNzsYnk8ZEPgYqdO1Oumr3QSrFgV2udpmTOHyAn2gC
7IKKUIekLnRQaFw814o3/ItB+OpKtu24n3gRXtS5qMqoDdJYhI3B9iLl4bYvsJKiOrCywBQ/euNt
YhKqDus8RlwQPPLeFxN8cFhqzuWUmTxGLTwwAzyjsVaRWfUyBgdIincgdoD1MegMf+uXns0D0VBf
G9OV8S7QumWXtIl9tG0gCVbpLgchvexOwL94kMYsHv1ytrcjvLrNkq9aBsag0NbT1AinJfdA2Skv
2xhwOr6Qu+Y9NNBssYm1MSsjclisrBf2KXW5eKRCmjg7m7o3Pei90q6I0FtJmFmdtfM1C6d7jS69
gwTuELoys0DsJdfuS0wtzlPrW8NnZo7eF+VS8LHTiZ6IjSjB2G1gwpMuoBKgeVmGpcPMmy6zPHhD
+4L5M7kReYWHdaG2/WSpKSUT3NQAK6asw6/u9f1qSe/PWqnyrbkWIkSwUYNTsszTRGq68dLQkfbg
XxR4dWmV8cbn1J0Rsr1kyc+6F3s6cZG6PNdBSSK3Bs9zm2oWZw2Gv2EfqhZqt0S97abY/t8s9Lvb
8Hd9g38bG791SjkozD/s/35xL958rWsxl0Qb/6mU/OEP/svBSPchRivGNL7HsIr/9e9xqE8PNWgL
xkpsgrCjrlVE/xqHmn/xt4i86ryGA/yFDMn/HodSXIaoZeJsZEPLbP6/G4d+3239M3Nh3O6xFWe4
xUjUo6jk9WwLW71YqlafsVjVBX7/NahB3klZ1yb06WAL6Zx1eVVlfbVTg9sF7Av6/ogNwtB3S0cU
fZOyjg42PNNLB8KG42ohg3oZ9cFnnOjxWbkufSCzgYs9w/cDUIrtOtR2IXAb0XK1kCcmH21hE9h6
y9ySV0qZ/IPUSdkXGWbz2Iu5P80oWNcGOgmy77I8xKZmYfYh3LjtA73Ntyk8g3sM1lN9YJ6B+8WY
dO8jfU5ujVTekOVrGAezlm2DAq1piiOZ1ofMW7KvmmEknxX01Sv85t4zbIhcRgHa4WValXGO0ULg
keGJjzdYOom5BSjn3OBNKy9GK8jPWZMOV6MS2t6I84UIUQw3pBnGacteDPKCl+TjxuGgbKZJSQxl
LpGKqkKBJVuvh2PpWA9+z2E2NDhUoVz1ytpN5BZXtn0wzRVSC9gmtDPbACkZVDcgmd3d4C7Vrb6U
DQk7vz+nMaN14lVFfXI8s0VZX+JNoVJvZ6K3gKnxq6vaMxKIvZ6rQJgX7ZJvakd/wnEyXMrGfhbs
qO8NIWp/7/cx2wlKWhIW+rA19+TRrMepLMwddjN/X7VJTmJjieMrPPhZNFt6sanIlV85zijuPBc1
det+kwBXMVCssqCNPuiNNyAOMIUou9vbKIi2lGuodZUVDU3I94SMkoe+sqbzKFaQEVok2HDQ+9/k
yVWohB1VnrD4xTgI8vrWWQXNwjafsFEBWl/FznmVPetVAJ1XKdTVnOqgUEf1xmBJXOT5XbxKp3IV
UeNVTk3cZl/klr+tbIXXUepNFH+TYINVjc1ZPuzkqtAGSn0mR6Ptmm8ibrrquVzkDAJWjVesau9S
BtbW8B3FbtKEU1A7tw1XG/CA4IItACVJq3KMo+t5Aa4DERVFOV21ZWdVmQn7wAOUKM+GhKJQrmo0
bLHk2K4KtVO2bGNW1drzRRcRjZ63vUEUufymbo8d1803yRvKsLlvAdSEEgdQtLZwFPgLpLMFGcic
cdXOxyQj57l37WpGVffjcsp2IjAUertjLDbqe/5di1fflfkZYBGAHfwc6t6hIw393umK1Hg0bK6F
re7k2QWZCu928NM4fZrsBV0bJFFp7epgdeYRZZ75/BESqz+bTwEra8iPON7GTQ+yqAch0GjO8xRQ
LndUjclGuWyWnI6AXF9sUoSN1o/3Y5bZ6p6whGSVkiQapi+27WP+nrBtv9QRqeTaW8LUWQFSLTyD
aBRQgCMusyR5zwAl4X2eGhnnR2sqFGrVzKCIyQmxxDayabUbKFBdUZnXvr9F1B+K5AACyn4vm1oN
n70iMAoXGxU6zhiWa4KIsCsOz7COi8Hiv4C9HOEAUfYUpjrmt3d1ISH56Z1luhtz6M2YG8uYvs86
/6davvGmpv1khVv+Z9Xy3y30/8QM/v4z/9Is9b/4EWjNaCo2QOwfX9LeX4z2XAzTBtrgOrf890va
Mv7SEZ8QJ/kCFCP8oFma9l9MY+j7Qh/zvr3d/xvN8tWQFwWeckoL/dDhhY8d4NUQO1GTvvhtI3kT
yGTYlAXT+g2jxODSlryTmMv09WXhAoWPgvRNt8PP03rHYWGwLls4Prge3F+kA1L3CxC1adgraY4E
jHkeG5lZRjOIuv9KGPj7oygw1skcAG56De7rLaY2RuUMe9tgml2aBqBzkbZbyze66Icr4Dfa5e9+
Kw5lYK0LKRc1+OfB+WLg3Z1tewBDN2X7yVq6iKhBQUjZe6v/7ZWh4dsBJCGi4+DgoqC35+ePmkbK
REqHAxhkcUDrm3nLq9R9mUY3Suo433iNtYox6wOa7PEbCsHPktr3Q2qBSwAgwjuExdfPHz7g6oyt
dhhINtluCCc63dZExf8rPXL9FMfkuqTHmDwO87ZXnyIS3xJjF8s9JCIXlrCJexWIReeN27yt3hRk
Xxljvn0cUtq6OIYM6r4Wnh1sJ4y4BrkHEQ0jrei/gr99YcBVhRBoL1xS4993QRg16Kr9zeXy62F0
aKBCAF4LKA39teUnTotcsfuT+xyFbQPJveRkBc33J/h//JRXysi338skbUOuDr8ABNafT5YtY5hi
XSH3VjbShaVplzSmnBnLAtbTMer++Rb43VH88dNenTTCiUlHW4vc++BL8HkTPB55Y7f52vkaBAML
xOLTnz/yVW3V9wsFVwhdO9SgcUG+epTNKYRESAYw/xjQn+3GLh8TKG1H0Bc+oZSkiGTHEnH2N11p
M1AfdP/EmOsgk74BURaMEGtMFfbKaz9Pk6UdZ3IuoRkP3f0KXWQ3wGC86JY3HkzfXBo/7JLWM0NY
0UM4xtRi/nLF+SLBCUssdE/YwGZWqqnCC5nSjFvQfSvGHEReC40/sjh6W7Oc7A86if0bwALtNfoO
DvI2Cc5EIpM3bnDnN5cmWTaDVjf0Tf69/vMfXGJ5QJ/fAqBiT0YWw3fqRFlPqL7z3WFL2Yp4oGUB
GpRyWc435VKfQJr2lyiDI9ugaWBOjTEPox+sE+LMoWW0cRTXPl2YZjJfJNLsr0130Y5LoRggk7eP
yMRSVTSsSg0+5McB3tAmsDJmc7bm7Si2yiAL9j4ywHQamNuH8BzkZoidgLYnKubs4kEqX1wX9ox2
Yy0YTC0JEUAbzk3gLYeOTVk42wg7E26+Sx1Kx5PWd+M+r5GdgNi/FLN1NxCYZYSZFAcad4czP7ne
/flq/fUGIVjIwoC7nnfwL3kwoCiOdNR60kV6zZwtpYhFP7JEfCeXuN1KCT7z//CJq0JKoBCCwevy
4QCYJoSgYtj3cQwnwd6WbEyD2r7srRrTeOA+//nzfn0L+g5jCQb+qx0Ce9XP145IghHFWA77fIZ4
ZY7rTgjgw9Y3+7dq3X69TH3HZ9Khu/BZ0H1fXaaJdMZcjQ1vQX90LhqtM46Nkt4bB/C3n4J1kGUK
Hckcw59/IejjWjXQeLDX2IlgvPcC7UB7in/z5+Nm/OynWJ9j/DaYM4nSgf/6xVeAEXkx3Jb54YQT
M2Ikne/wNCSRK2irsmNBmZLFha8TWzv1/lNvJvvGLrK3HksMpH4wzHz/GixhCLsCejeM196crmvA
940e/Nip9LZkAcpdrPJhZ6sh8zeWvdhHowZi1uvN17JR3h3F4GqfOPp4RU2rdYIP/WYz4W+/Ew4+
vFkQDFDmfz4Fia1pECEssYe1UB/13tkGOvrHUg/ddSxaElvoB+9LFI5NSUz+jHAH5BzqDjmnuom8
uvxKd8d4XfhThIb5QeZEwTu8QfczvUdhO2TOwaF05lTP0Aj14S231zrl+/WgMpdjKoZnBxDIz78A
3M6gmn3FQU3nu6T32p1UdvKQ8hSD1ublUUyMclN57sAbq69O1PJ+9DPvnejd4CjbON6AmRm3jPaD
22bxmncInV8XJ6aA0E+DnWqTOVJFrvGuGMpdn6GrvXF1rrftz28rss0//Aav7gI1AA5KmlnsZ8Y3
J5wF9WlwyBeR3YmGrOchz3Y0zHP9aDWM0kULnubPX8H6/UFkgIntHzfM69vdn3mWoG6KFd82AKbC
9v+JZdWNZ4sapKT+pSnH6QmDdfpZrB00Y8KQ3VwV+BREUCJ2po6G1KMMrjxNVWHil+0m5QP3kwMp
hqyJ8XWuDYNHpXfvWSi1NBhGrhYwyEfvN0ZHv9QcozwsTfPRG/V7d+aDQA3KTasC4bxxzH9duoH7
0WkKZYWAr+x12wJOHQpl8Ertu7x8qmOYknkZaQuBqGZBpvvz0f3NYxvfucPOk4pI1oqvdhQCjHO9
6mD7NqlfArq/eWuPOa7w/zYFvj7n+CT82IG9ekpfL+xB8UioOA5XUp+8A2uXEFpdsC4QkoTzORcA
CXVX80/Uu76Fzf/N23e1qq3tFbyYWHj/fBsOSdYB5dNXiWZ+Hw/+zYRHhTnWC1rpJ7a8bvTng/pt
7fnqrmFoRfJzNevR3fHqrgExJqYs45JlG17fSYt1z4ykPdfpuKE69Kseg2/IyilK5pbFje3j/hRJ
H+msVv78VX57MWF35s0CwR7X3s+/eiaH0UlH7l9idEOkt54b2ozU6CBqkIbT/OXPH/ebl6aL3YnT
zFgSOuOrJ7YL0jxhIM5Jnvtpn9B9vVmoM3tjj/jb42swyeBK4vCuwsXPC1VhJA2jQrFnj0zd2jgB
Havhk7ixrx2VgOeZjIDAKAcstypOKhg7RrmdRu1iAZT0xv3666YcLza7QjblqMrO6/tVMRdeKLjg
y4yQxNPES3aiX6DUzskmqcD8taKq96RqzbBBlXvjBjZ+dwezGuJgs27H8PrqWhvweJoW+dr9bNjp
p9brEVdBiA1ngqRORXipgdUMM1QnZDivSTxQE6gret5Caa86Ly02ijLDqzG1GBWbwyCNDaB28eXP
V8ZvviYpDFIB3Pqsc17brFPNz2andrs9Lox+J+1l3OJ7CLas5bM3DslvPoqeDNvDQMkYDu/Wz1dH
lhui7bBq7oclrl5sa/ZulzqtgFO6+v/h12INSiWRu47UfnmqtWsGt/XRHxwz629BVbu7ZvbiC+oY
P/75AP7mIcYnMRZhiQh55vWkwlziJMfQ3O0zS0+ieKjb+ypBBufttoQwdhG6gRe88fj47aFkf21T
tmQgBry6n5NEh7mNNWU/m8a4qZyJcGZeYU3SYY79+fdDpuS8vHpqstIgbUB/EU3Ur1fcPqxImSwG
l4jdg2Vw5xm8fJbaaomoPqvLjdvjinJZk5PVtkal7dg5ymmL7mFVt0iB3FwZrrbgGKO2PprtiA+P
xK8P/L1EMSCL3aUfGwV9tsDnK3ZJWhK9F3g0cMTwK1mbVWvyI8yKytgpS7fmC0dLg302996ybVBG
cnqFU+OdK008raU9OWhYBgWrWwvipPkcQG+tvro0eJhJ2LKDSS+mFAr6igjr0wdRNsZ8LMH6QT/P
jIrOLr01TtUyTdpeyGIU105VS//KBhIZ37rCKOsdf62pXaXAmE+htIOCRi6MXcmV79WOF0koszT9
OV15P0Jvjk99rTUHcs91HM5Jb8JdTbNHsCcWCEVpN/mRorKkxa5EYeAahFwdhtQA9Jf5yHYSl0+A
B2AvhELcnEZnnqDNzTFOPU3EOnOHqjWjtnLWxVWGTP3Rg3E+hx6x883i0wp43zrkQPd0Y2B5xbQ5
3gNr7octWf3Au6OC2QcWPI+JPLKInXadPwXZzgaPBv+/TRY8ciIP0Ah5RW3LeB3/6ZoZFLBRHf8B
4Fe5mcqqsUC+piPew7Z1DpUvb5nz7uTotE+gdcvnUvP1u4E+TQy+eKo0zL5bqwvOslzVPLGbUq++
o9ggHO002cIjyfamXSDkBEW1S+R4ssZZbcxWfMwLPCSORGiR+WTtYJh+sS1NbVcT9oqd9fauUPo2
sDN3bxO2DFkxL3Dgg+RC2O30yRvwatpyzoksjh+XznUOozXhcprmkMTwI+ghVEW3u3GCqt8Cms9u
CvqcNlLPjAu/KtMrS3E+2C2A98QhOy2Ws3c04zbLULXSeYqPcWAXmykvJIsK4W1K3hKREN5yC3fs
2A32EGYLfLdsKc4F0yUsif2pmCZ6VvQCcP1Aw2QOvndTYD+9UFZKmD3zb9CA7yotnbaG8tPdsvTL
ZtYGiWcQQXBh6XoHOLz9UPtCv6xTD+AM0Ido0of+xdW6muDl2EY+A+u91zTOsS8DjMWUXB6pazWP
goj6liHFycTwR37a2BXO/FzpsnuG8HHwHPs+k/OzM8U17s2AQZ2Mnyugwz13YOUfR+nVu1GjdYPq
K7yifnwSsUXFTNL4Wz23Nc5Dt4R2jmoHwri9oyJ2vOmSHsqhnHgvWuISULAXlhM1NbNGV0YH4QLn
TnagSrA61JU/vtgCHuKcKZTAqBizYZk3sulqmpxDVpp9Qvl1FgzviobK1tDk4nkC+mJNkdexj+Bl
ykMiT6TCGroU17SUE4KgECT0C+OoSyrmtWZooGwu/gX/o9lO3BDbmDjcLC4JwidKvAdH7AkgwWZs
qyJahNm/JwOyw3kOKVIz+c57TzObzxMeyfZgFaUpo8rvwe3ODdGCS2zJQ44RygfAUc6jQ6SgybCY
xk2XHfqeI4WFuC6jxa/GdylT/RuzxN8fV3WRHVXu9lsnyLprQ5k+3vpRQfDrGMalmdA/uauZOWS+
2+K20MuLlpfs50H4ibstZxinuXIy65Iok3tvj0X8EjDclxtWARWb73jUo2X2pwd0puqlb3u3xn0t
jA/UOfXwOFvnHOBTX+GP8C3oVt4PrFje+bOdvx8FP2cmfYFzz+xOS8N+OptADRHWE09M4ZBBckEa
YBhJGYWpFXTPtGZ3n7vWLnbFpHXPXgenlB6JoTxiCC12Gb7bJ6fpwFt6jVIRdoNqiOQiuDlKU3M2
hW4XUeK6ziZnwXWUnVNEOEVN8t9D0O8K9k0V9imsn+EA6faxi1WybH0nM2h6T1ScASABrLupkAaP
LUU76zWoqVNCB/y9XqXYPLxemujmQ6s91gQfMW21RZBeJObCV3WLEXLCJNUVBdjJGQOjHzV6u1w1
w2qjT21+qtWS3NAz934cTGcJWYl0J7dN03OuRPuB0Z25ZXDmnBMCzi4tQ9WyW+RU7KiYt6u9hzng
XJbtSG+zkzpnbqKOm4qzyxC+OxVVQPVgmraf+jHpIfv2RAEzjneWFzP44Xre+zQZH8jSzdBBze62
dfr2E4yUuocXvrQjuJgc8gMrvoMzVfxYjfSi0dvdqTXgSSyjaD8Nc9s/jynHdfG87nNjJOC4Fwm1
NexA5Z9gtM97GQziS6CEc7aXToNd1ATJecrWChnl0v76Ba+O7QOUNZWFfwbMWQw/hddyG9FikGw0
WpY6kJwpSBFfSqyMNMwb71p8zGe64uKH1k0TyBGywcrtFtEADRcOPsRgIxx9FpGOtMxtQtf1aaZV
JUo0OV70Fb88uMLpwadtCz5onB2slj/d6lpylkHnYiXwqUIPazLaZ9vqymNfkD8Jh4AhTpQVKj6l
1cD/gfZoH0OCKocox4Mrw4X7nDFWLZ7mmaE1MEWic4ntbOJ4Lo9GP6xXuUyBN7fEM+6p5Bkf7WaQ
lCGRFTiVjl7c+UPffrTy1L3XgqWjcqpW6Znm3doIhV33z2VHuIcsk3zU26m4y9bTbfaxf+nkBmwp
e+SDCg1UDjksWhu0Jj3btGi8A3Uw3+iwel70pcn22mQ7VDX0fnxnViQqOz2tL11L8RObpbhjyT49
BDqKzKJGWzvBkhHpVqvS+cVrGfNtYpnCNGDeIqhNcnHAblyt8Wqe5AsBvkxz4zs7ZcsVtlJ087Ea
R6owUvAjN4vW9Tx6XZsrjWdWei6LvDE29I81NxqgfNDjc8m51oWf0i5jNX69CcTw0vgaeyaQB1CD
KwUZocmNRztZ0Us4YL+6Yy4BAZlTd8vTYnlpMJbTI2/Wc7Hpc0d+pRUez2o8elz7bcthcXmTi72u
CqMPXZa87xaz1O6CQedp5rnjV7Jk3e0Q1wz+O7O9HsYZtFMed7fG4Cdn+h2z/RCsdKyVOMZzDCzL
7HN/U/cxPHVZVuu3veYLnvFNUTnHZm44eIS7rtgTx7sWngkPMWiHzE0HSyIIW/6HBePTdYzVaj/S
Anew3YpTw2vz0uptslKOl2Q3ri3aXVvb4qFvR+oilvQF7BF/S7RtG8Vja31yggS6aYsRvrVniBIW
lSDOSEzJ4HiFKJp2hHeG+3CwqvnOqKDdsQgBW2znYLvKhDyC1tzDm74aoWihReoZe5m+j5QMcipc
/RNs1vGUV23PxxbuWVeVcZ16Fc8Na0Fe1zPtanIpCqhnJ753oa8dgymTpPmzaiEHg9jYEZ8+4tc9
jfNMswP35pWeqP6yTrz6lKQ1jWqmxRIQghTQrOQjRWPdsfDqNcszWl+gdJ+6TDd4pPn8hyW6be0a
7WYayDwSOHtivQ2vl6bxT4FadaZmoKtLM49d3HioZSkL0jFv5id/UsmdXqdqR2/6wSXRFwVKA8OW
dc0B+PVH5n/Ve1pBQJx7DQfJBG7Eg54dDrkC0j0r9V8cC02nRyXW9HNR2e1OSInwZUiIzrNSN7Zf
QEzPc3EvO0zelgqSO0nVJe7C2LuRelCHDKZnwkyx/THIAvfRxV15yDLvES9UtWdcSjhDZykHZnjG
bgw15SrzGdw0hnmMrcX4BDRD7SDO6fvBNBaiftKK1MjNKMgpgsNnVJjMs3vB4sJ+ym0HVPHU7Lid
eAA3sLnCBK/nPiiD4IWaB/NpIqx2HVTBgmuhst9B6s+BywX2zuHZdVHFonw0CHveziNnCQfg1O08
1oUhZXKU11Py+XVBajI3bTJk113OZZDVdMbDL65p+2rxqoV2RaPO1MKeRkAIgwXMssSpuDHthJqs
eSpOiaoPQ0FvYOjY2mUz59PtoptPQ6ZVO25F8LlLzkLNIT0SkyuqbCd+KIuGZYY97kCp6XnY+kN2
5+v9EtG34V+IOVuZ7+k2dcoipFTGOVetQ2lvqgKsqrjKj/PcjFcueYeaNZpWcMO59alNJvpycguv
dwewgvuur9mWUtnIbYSGNl6RgsmfKwCme1zANa8ciJZht7SMNGSmweejR+JyZpjNrs4bCeDIPi9O
gcr0O8ezSSB60yEeiaD5orgqOcsXolaw2m1SJDMCDx15Yrhk7juHrsgPBswa0jhWyD7nY9/UclOl
zoJXn7KW3KtTPxzHwXieZrs/Nqb3yVjcr3HfdB9YsZYfCLiTJBJCe4CbpO2sUSbbwZPV7eyyYikJ
IyJ6B8MKAYL2zXJoOoxmNQLJsRplR6OnC+/gFcAceWi4zVmjNYlY/Ow1Z8Y32PxMP4drKCl3X7hG
nfxDVWHdNDufpFDGHJkeER6geaqGL6Uw9U81lK8vUMJpxDDJhJ87XAAnp8+be8KGvnruWfFw3jI2
ORVMR94SGoHOsiVouwRT+563JbOzBYShZOjPPyIYAKmpLtiZFlVqn5KVGFgVzfBFSMEQQcyyeing
+tHFvQzxB13kxidyJLzpG3sGF4W3/gNxUTbhdpzhdyY4Kb5oTqtVQKXGwNsuhVPflx35tFCkk2p2
XjKMzc4OFBMNOaVcHqkpWeA0ddncp64sqAOkvOYDLA3+TNBOhMy8PKDSwK51LqPaopgE9yLfcps7
2KWiGpeWxyZm4kNzmEDiIlucgX2jXo9GulGtypIdi1d+8kJNSHO0FePHKLXpKt+DpGYJMKCQ4gqd
4BnmqW7D7cFrKzdl7HKWNHrY3Q1ZgvjD2I8gq0mz4lKOE6d6MSWlH6HsLOLhinT3h+8H0xm1BGo+
8mS2WYSOM80zlqkB2YSl1gqcZEPfqMAa/G0oYBl2fe/gH6v3ZZYz7sFZQLyNKpPi0BpMgc5m50zG
ji5E52IG8H7vKBwVnEL01o2KO36/wnOYh/StXuQXAhfDuK9mjB9XwTiML6PLbDSUptOmV65mgJef
R3Nfy7p+qozAuy28oKMtDrLtO5W2Yj5MjOHjsy35pQ/mqHN5sCrnW2d1zMlz56nW0P+oKt9wTrh3
mf2nwD3JCQKH0gb+/0ttii8Zuxdq1hUr4lmM4muWi7zcB7In1imDKsv3gAwpLipxALPe5XQuh5r5
30llVImGXIes6JzUbvOj7vYMUeheg2cZdhlRSe4pNty8hHl/bcAkUZ1RU0xSbcxlIhyVjhZ1m+sS
svRq4oYl3sAHI9fNLTFg/YQm3R9UJa3bKvGnS7xM2SOVVepBmfb4faz+Pw/qGx5UrtsV/fCfPaj3
K8zm/2148pZZzRD5Hyvq33/0X3kR/y+HH+UxdIf7BFvln7iI9deqSiHUrP6Qb//k77SI5fyFQIYJ
AO7ed//qP2kR8y8dJyXMG9AluA8ZQP+L6X3zfYr7HVz+exec882A8sO0l40QzhSMUKs70wJN9UqZ
koTJa0KFzQGIvKG2QcrUi6qaDKJc3VE9Ups0U/Ii9G8D3sVkyLM6u8Y/3kSMdRnSYvQx3uVxZj19
y8U3LMjvR+HGHwKbTHu7WExzSGQ5h7anWydEMXAuMg0KmlfUDcHkqXCraNAmOilSC8zApV9q6TXx
Do1maRx1J8kmqdt21NZQxzLPyiB76KY4Cca8fhEV4fuQigt7V2jCPn+bnBRpbG+0Bp1pC7af6H9M
BxcrcafOIwqXzfQ4ToK6XBLjVyatju1mMEnQSWaKZDFY67OS1QksEq1+r1d8qQjm3fCVTwFA0Nt1
YLA7qoUV+pQrpfzgct5+I2cyJMMrWbhDU2zpvXEo1PV5jViLXr1knPADqEY4QbWjEuiCWfxlcR02
wAWdUU/tonn8XL7Zk9064qlW7BWDQgeoC9H4rGRcv2uF35wH0Y/zxdTRmck8EyYyZAeyA8RPqNXc
6AZb6HBJW/92KvheHRwUIsdGHFehbmW0n5FtRYghU/rBSHzGi7hIGmJ5vW5EMflRHMfl+qbzKxHy
EjtObdWu48rgxhFpll7mVBAcBMdvR1I9uGSe3+2XNFWXa2Sdee5KhMwc6ugMo/NvNV6/13mRQiSe
fQbEBiJgFTOxiJvCPtI0Rg6zzOzjJFlXFDjCtPuF9MLW9XLjZAuSG10JXTPKGMaJw4IViN+ZuZtV
Z90ntVTd+1425hNpJ6LUbKcd97toZmgVY80hHchbqjm4nVqiAKzlg3uTcOgt7mCyxcHU89Zn2/SB
YJQQsBI1x4yGVFMf/aWgYU0YwWVL+02yk7OenOwpr7ND7HXDcpRyNud9Fkvt0iS4qDbK9ABz6JNf
s9wgQjQcaShyVJioVrLbDpziMrWm4Kb1mRuGRu+6DzVZqauUl4XilVpSrBX6NEIsDg2OsFP3yTTr
QGe1PFctGUIOBMRNJ2v890AEx1BjXNFBwXWtmPOjqZHlnCU7tfUx9e6o9llMeaCMUxtOpGmlfoRk
MmdPzNKD4eTwL/b1XD7PXpxo9zOyxsYs4ivqNcaLbBzEU9pV13FgJZelpPjkc85yeTRD06oaxgVJ
pXt15Jml/oDNkpaLhdW+TpJyiwhR7HSXvxzADB27JVGP2UC1jxakzRVrwG4r2uEulwbz7bI13dDL
TWZz1GmoR9JFiXvg9tbe1YkV75u+X1hcO1bVbnBMtvQDAvh1iynZaQMo7y9OzXc4zHo20QgsmbnO
w0TrBejjYyNp+ZjR/TGiXg65iI+oz2IT+IxNVZbLLfyncmsPrImYpO6VZmtfnIUnTRn3my5e9pNv
5Ps5M2FEtoN3TR3z/bAI+sUTBdchdx6NHsGFoQRzoVk2Z/Ced1iQCGz1wAG0tYIrsamaG0twsH7r
JjsWTBsSUPWFTr/R13z2rvXFjN93faEOE3jU+xq04TknbL6Z1zovuxTjjUE93a5jtIptJp33trtc
Z50/70uwj5s0FeVuNgqCtXSxYZRlGJL1fdNGhb+8b2LP2bCSOi9tf4WJjmWSifWhsBqK+eKa/m1X
Iy3dx+rsitLH9MpemqftvmZaus3IoFNKN5Aowy+y7kNByzRNRs/JqDEaQBeZGWVDMUw+NJlJ95KR
EtT25joyA4kAMzT9E7226qBXyfCQy37gwlDaHgTpi+zdcj+n+bwdekX6HprRB6twWI+yHbGPbs7W
EV60qR+l26jiYLHzu6gBmO6g47IuaxNmXC04y5MfM3WeNM27le2qEbJUJRhOfnhw7Iqrwl2861l0
lFuPBfDirY/z7C6gJ/wx6OAZW2iaW9HI9HoJ/P/P3pkst42l2/pVbtw5MoCNDWxgcCcg2EkUJaqx
JU8QkmWj73s8/fkgu06lXfdkRp1xRUVkZWakRZEEsP9mrW/Vb0WZlkAOSHt9rlSW7wyoDB6NhrPL
287dl8sAFGAM9M9uE2pb5trFpgSucS4cUV6TEwpYESryhXaruGntSbtlDP9JhXVOuKdb97uwXewz
diGDHSLzbuOKnMXwxLbLcRmEkveUdTHjwlSYqLdrO158OZK/ZMGRZfZlmGeTCGIMl9HEHh2cBEud
wNmrishXrQnJQGJ459VQAz51FZN0rjhsy3GPv103m3t09OVlWjodghz7S6fjk+4zLgM57nTYJ5vJ
iFZ7YrNiUiW5SoFKvpmtzL/1eQMoITLzZYMDdIQ/AePqqlCc2Jtkri0fRIDxVEb9cB+5qfNOWFG4
rTBtnupAfNHc/jvzsvAZZ82E/qEgrlBaT4VkB8w9lRJ3lCJbNnjOLXMdPIWNRG6ZfAkIOXfoH/ZL
yfZsCRZ0O/H8jKbDJS6zFL5SzWud0+dTMB/TaEoxz4nqW8i6k2g0jcmYYyY0tn1RUlpjSl/swABS
wT4lbcf0Uhj2melcccoXuAh5J3Bri5AN02YEA1RtWyNfzuEMz6HK2/eecCumbZRS1BfxYhK/ZA7Z
QRkJq3GCEmvSUHm4phYp8ZFZO5tOIhmdOOW2URHEryJNHzVhlz5sav1LJJhUlrGjvoHHvu8H43uQ
156DfHDjauoFho3u1xao5CnVSVKfg+VU6b3EtVq/lCGxcLjVrsYiDXh2VhWL0Jo00nAwD8k050dz
qI7WTHuY2MZTTFzRKeOa94rYNnYE6Ll7kXQRlodk3wzkrZfd9CDRz5ABykY5g84OzX5576g/Nwwv
y4fAwZQYtwufdZCbMxOEYthaBAUQmdXmu6nHqsE09GsQimcDn+aLXlvmrenCnEAScKmNjuvK+pqL
3DjGS0+QbBRX11UxfOBfv6l83FAXvLfEK9Bb8yttjKIdD06FW5cFrtwySU6Y+tvR/kP3Cm849CP8
9zud6vFWFCq4I478quFLL7NmH0c66eKt3Fiq4hI1nJAkDnatjQG/0KySJ+xC9n0wRf2eHtvCDCyI
HSMHk31Zq3lqsHl3DDgkR/pJq1vbb+3lU8fiZC02a6O4hfIUbuToEp9bfrfi8FCLHEI+A8JgbG+X
DHtk1LWbpiXyGkIIi9fCW9rpcWz7u8robjutuKFaIzTVZp+ZdaBy5rmHeMyoZjMn3OZkfZKUa5kx
oeyTktapSNgx2Tlb3chuPDEri6i7NF/uBPqKH+yz/zR+f9P4CUlj9VeN323zLSyLPzd8P//Iz4bP
MOw/iH9xUc5A4rFR4f13x2esNkLgdY6D1JOnxJ8jjmwAAcLlz6HMQqK89okcOx+8VOMP0J9SocBG
HSshj/47LR8usV8FPigvaTsVFTPzdaCMv4sR07bH+dG78V2SuiZyPdyQE2PdkDG/G1RSXiRQtXZf
ZjolQhDgNEDKRj7zJmWAMk7nGv06TVdK3gxAewyy9xGlczZ9tpxBS/WNnbL4gCiSHsKl0Me7Lqv1
91yvRrCAqi3QsTcGul9PgCagLC8jkTrDvnQlCpioTq6YIxrfTdaCkFTa2nnTViTxZDvhlUplDYkj
XNgCqOzewoy/D5dy8U03Yy6fxuWwgU9FRVYTwcI5nlUNgzNTMgXVtTdnsoFSU8gyiHPV2Y6GmGfR
kpymVMZHNVj9lzHpxVZCFLC9prCj+0Y5aeS35TTfDXhEXJ9dJvoQs+IdeyycOhK466zyCUqIrmvQ
ABwe4aYLR/stHofuqWUtlpwt5nt+G1fqFq02/PI5niiVMnu2Nh2rXFo4d3IHr9W7eH5QVkdQBN/E
/BzMZeFpBG+jfpiC8EFJE8NhW85YC2FfDcfYDqLrZZymZ5jchoVka9KPYWEOW9eGUEI7mOTGTuGn
CT0Vm9VnhtaoMsOauTwz6vxKawuANZrlIOPPg8W5ddJRMf1DU1V7yRILIiWmqF38xGrbxochNL90
/Vzbd7wTsrNJ1s0nWkYa8ljvzS0AL3BwWhJ9V01GgEEYp4c2lv1uDEmHt+q492GJqUu9yIlxcpSG
vpi78sIUACBESTq6ntfGhWT4cUtOL5B+qWaYQo1lv4+Va/gTN80ZlTkR69Fc5owGwxkB8K4utOoE
fSCZb/Si11V1JUircaoNtLsW1zcfhGTMPURFdSc5Y8ojYiNDrk3xHOLqhpxIp5G3hA0EwDRjLyow
LJJZb2Dk9fOFT+8C82gN/TMG9QDxH7+50ia3+kQWgqo9C3gZRwzSL6+BAEP2wTStiYGCPNirpAwa
8hPoQt/Res6gHDKF3yxz5lw7DRwe7YYDlmB19JmnoegiLI/F+AoWDDkWlUq/nYkYmI9TOEMTAK1A
gDMJEHp0QFElygOb3MzwOihoxmZcQq076E2udkUYx3fxRMbWJqqHFZjRBDl3duAoFObVHJPWiJpx
3FRBNQwn0l97suI1eukSm7vpV0M+GBu90BqkVBpaKoYXesyZlve5upmWfDxnraXvm1T1fhSaIZZ4
Q2rrfoLkq0xT8Vkr8QXsBuh4nGf4MBs/z5j2C3oNtqtTTVutt/e4kZPl4vbaVw1vA/cUG4Jp44Cn
s84dCX5ISGp28kjC5vJ5CpBweM7cR4/LQt29l0HVFGTCr3EVrkbY44En0fyAzIOBORY7QGNxlgkg
jnokxqNKmPaYZdV8p+l7snpiDjhi2+VhSMVQHUaUhSWlL4o7p9IMKLmtfrMEibiQJsn9SAhjkm+T
kKcZUkecdnOd7JfJdK4SzZmpwQB1TqfJGIFymgTX+rxSunecoF3NXwHLc76rEoLSkvhikeZFq2Z9
2Jl9lPkot8V1aRcuDmkoglstrvII9uGEKmIhY1c38VCjFGJ/9tagRXtNqH6ezCYbXlp9Ijm4AWPB
vSanwYfJb25zwyYuswnXja/ZJ+3WjlC4X/MfSBKmNSKePdA01Rx6tkNXwcyFGQipYYTkVbqXQCoE
fEVDvhHwIULPspsQntRQESBfN2a5BQw3hp1XWnkvb8qi6h3PKYLs0ZhD8xMypc+SSxjhWzut7MhC
Fwfsouqydgt+2AWz3wm2vuDjyAwv2A9umcEE4YY17HRfBK08Z7mAyZA3KjduxqYsbxgy2MneqUvz
ue6mZxaRg+uBd0LjZcRB5pAVpHcEdgzJ1N/k5Nael9lo74k3YA1Zcn6FF8xIQUNlLLN5mWnYVAcI
cSO1IAyuiLoenTPrXGP3UST8p576m3oK/PNqZ/mfB+nHjAE6isg/V1Q//9A/aA4KYDzOCTxxVFVQ
lP5ZUbnGH8yvbWc1p7k/QQ//RC4xW3cR8RgQtam2kHL/rKhM+4/V/oko3bUxSUC3/3cqKnzUv1ZU
WMiBRbgQAajS0P+7q2j8T47d2I5lkhltdDXVhoq9sSrJYErYxeMu0wDwToZkbpm4D1VaI/lZxfaM
agfHwnrSgjU8NEaOy8wpM/tqWZQEHziUywgXTZ8uPZspuTcSzsFL6ibN55qFrLVBBhImG0LKOCEG
0Q6nbIRD42UBIlkOMvgqiAt7+wQ/XhFITlDwcTGWTkKDAwK1ZMpstsOKD9jAS0G12XIEeNLR6jeX
ydTXj9ajI4F5Gy46OXZRBT9ywxBXWD5Z7VKcXNFRGbm5fTNKdpj50N+3SPR2qsVV5MHZ0k2fUjt+
qJJkvoCz7M5NKHLuRBQCTN9KDWWFwxjbg1gUEhCdVPeZBeCOH18zHy/nA2WUeyVghl5TMO4h1jXo
q8q43FkFk17RRqyZu1GklAUWYgHZKfE5czFUxDwSHwyBINyN5JcQZc+tVTI0QDJq3vUiaY5M/6Uf
GeIuAq/vI4ZUW22GNjjxSLwzlZadzWK8t/Sx3VhZhuytmlT0FaFLtZfwHTYNK85rIwfCF9tTfT80
puJjj+Lwhu2zPI8RnGiv65f+pI/bWpTlmUMq/54Mtrsb8EnvWotCOGxUew847KsVBKVvBEzwbS2q
2f/zF7b9n12pGR4Pv2JTZdbVMFJXKKSYD0nTmvfMk6drs1LjHTJQdH5p9JbAUXi1Snv0l3C6znRr
9i1kCJ6NcNVrWAZchnLKH7ImzTdFmrVnJi8R+w+ejYGbXpos6UiZSvtNzB37lE5MMiWwnfOMGNev
0NlvDYvfVENT4+tDED4ujmJoR/QBa/mkKF1+bJI0W72qODkj8EWz3r9n/Pe3YS+zixoKducUs+69
Qm58cdhYErIYJAEjvWU5yzWtJqkGbc/qo9zDvyzudcEVrey+O1HSSYaOwmOZJHcGl/1NySz/ZWgU
9hWt6zjAIAH5yEuz2luTavwavuu+TwImxnV/bUNXuSJG8mYYWuK+FrtAzwjXauMkk3Ywi2ygp+Ea
RD+NArUPtG5jL90nTct2FMH3mGf0XaCu5cAOnZni8zz2yV1kQgLsUMuAOqYUlvdGrWdbIgy+tpVS
R06eT/NqgsxE+yWnLN6xN+7mTR6La0uOrKHXb2p+10LmxOCsyA7r9c+yd4FxzW5wqMZBuxlJENgG
fRWu5KcXHobtLRkU005rmxJ+TGgdZ06uTxKlHhJ06k62LGz/mUbbiXalgAisU8wX1F41QZeALTOU
t+hDrpYuPnU58eJsNRjlxGdOXShstgvUTObwBKh1xrGKd2TvTIS6J+09CPzsQlBUeMQSiSZ6SVmZ
QYC/5FO27GFUY0yoqma/pJN9I5sBpYw5HpsZYpU/Gu14GWX3qTdmjRqC+m6URlRwg5WcvPpDkWhw
a/3aaERyNwejmZ/Y1Z/zxnkra1KhbHtxHxNzrnYwSdK1bg/uZtOJb62ofS0YFB2tmjHaEhuvdjVY
wEQavfvSNrxl1L0VA9JMXIdZAadcWFzSOvCoIZcZUukou5t57HrRxPMuKyk2NqqYvyy0ygi/eD4P
PddgPE/zF6II0XblsV4/IHZ8KHQbHatT5Ld0JOArBjeDqBoSd3M0qzHC1gmrD/aVNehoUZLyWKUD
6sq46CA4VIV73yXqO+yscRMKtBIj/TRaQMeIa8xSneOR3JjDTpcxpj6Ko95KUJiuhHWmdcvOEV2+
m6MPVCSo5RUcGf3ASM60Elc56aKErGHQ/5pqCOK8SCZYdKZoFDY7N+IVPbKBnEPaO8lymmRjXyYO
7AezCbhF0pFL79h0g/XcGnFzFS353HrwL6y3jqsfjCdu/AjOXaCkN9qVuq8xfQg/MMBQlyCIruo5
0HadmxThIai744w36DbK+uwBfa6pSJ3FpRKlAReuu4zRCzaudjsImR8Ae0WvzFJ0mK9Og0WYQaw8
hWZDd6ZkheZ9YS16HCqH+8MchsHD0KFdKh7t34tUUp/jQx1vuqElOmoStY4odWZuvhhFFXpIRiF7
4bDtP+sIt17rRo9fOJNpBpFW3LTmkt8SGul+15kRYl7IAvNeQ5vyWUuz5cz+66gMO/uW56bNGsq1
Yi9m5tuzrRoysrYYKFgwuHOetpuW+mH2ib5zcs+F0EpMGLjgT/0wWyxQ2+xdS/QkuMp7gZ3LruLx
EtTS/sQ54m6raVnXj7MgOVOpCupcakThsQGT+jWNY1fyMArZZaTFsPppqdEJgtTu4sRmxc22rnnB
6pCezawKWUUFnVQwgPPl6PZ1+i67Or2vRkRObTaKTbwUwTElvcw32KGjmC67+napTfQ17dg6jMZx
vkDsF65+A71ufLHGefwWOFH9hSSFYVdoiUtfGrowhKd61q4Ytg53uKNQ2ZjEXH2V+gz9Bl0d3SfK
2UNPK9wclDZWX9xwKohaWYL+yHDUHP0kTmCtuipPPtdOLGn4SpO9oSQnBYmhWZ/trsqO3HMocdhj
VjNNCzMLfnOaJ9XoL4HbBRKir55OpPRo1r7PZHwfuJW+R/KkNkXfFyBSHMmWz4wSh/Z0oGtPhTpB
06uvDLbHvl1Juvqhb/1McMGprGL25DRyW+ssa5Cyd1ssWK70MDsCH247v7Us1uLa0CM5CDD7Tiqp
jq2STUF0bgGBt0k65cVh3xobLLrlczqLqth2KLpqZOP18g2/mXkT6GPlM9t7k2HkPqmoyF9LJgk7
M8oAvvOIZ6E/D2mpbTCI8US02BYfY2aLN+4i1Rcg0NmhimjsNiK0yHmezdl8U2MTXXdg+T+57D1j
zwHKKL26GVpg5owRUBPxt+nSp84BJeR876QBya6TiIzXwR3QehZW9SUk2/RiuZ1bbJJJ6C9Qmctg
Sz/ccy3pbU8HqIx3txZ1sg1yO9SunDIJnnHoFE/z0tkt6/touu7bft7DytcQvjawtwEwA9kL0zt9
6ePnulAsXga/jPIBxaS2HR1wLcXcuRfZkZvbKxn6oZur2LfcStyiGGQgZ4Rqz9YMjqDVDPIN9gwL
ZllW4adCzoptbT4i0Tc0UOkbo40hm2dheIZZvmxHrJ1HkWTDfpFW5y+Vme16Xe9PhhZt7b7Jv0WJ
6HFC9rbCWgiShx0Z4ZrIPZqn0FLBmy3LAFWEjuWIb3NpN1Uj+5tITOkxpMzC7BNYeuXFTYjbJ0xl
8l4x2iu8Zv1LpUUZjxZzvCmxR37OSLx7jC092uuxpdEfBP2pqSYXdCnApWsmrO4m1KkRab+v6Ny1
dkeaYH9wYrfGRSnC9LmFEtN4UTAOCPNja91hsW7fstperlPNqK5GhHIn3mF2EkwPvwZL3O3ymOlJ
XtXDLgTaeKyz0PSJm/hczXBON4YwGmK3a3Vn1rX2zQBY/SPX5j9d8t90yaZJufFXXfIjcOJvbfvt
25/b5J9/6h9tsvGHjSCb3ll+UA3/EdKm/2ECk8FpALTY/AEs/ofOzP7Ddhi6OVLoaNSQp/2zRZZ/
gHtZ1xHg++C+YO7/N3RmUv3mKoY4SAkIWxGSBgsMOIq/tsiKGlCLRqs4cobCM99TicLQ3XLsj0hY
c9QdHm28GE+dmKmN8ZT4RjuZe8Uu91DnEjeOFbT5lhkA3H6Ox0fWoukWzEzhh6EN/mNsGHeF9vSc
Q26twdda5qsbFsZRVHq26V0I4XUUyi3w7fe+qLojuvZwb7GW9okOruGR0wktCxC6eSDbhc22JOHZ
nRC/o4WBi+7QbSbMH2VVO69F0+ZHqrFlh9Fr17ekeuvdoG+GJA5vDfw6h2KOs0cRmQPVYyshyvI0
L5+xDNR7MWjLFTz2VSIibPuNeWwVeXixKKdzhnU3ZTN3T2nSOacpWfT7fmyEX2TqMvSGe6MnZu07
eRh+IRQTWT2788OiINSnMRteCBvNvlFBcRhjCFONOV/KqlTHhvzjna2B9F/YNd8WK668SH2rnNI7
DREFp5VIPWMenW3GQeP1aW09NLT+UIikvmGeIJklTO2xbxftEIBLupJppF1lLQaaVNSMmJk4kr2j
lze1HUFxrjH0JN449o8GUcJbgZvgFAa5tZeVke9EbVr81HahYKOPU7HGIrsXj1CXpq8zGr9tOyZs
RlTaXhZILOSI2tnOBkHma9U038s4UW89S9OKGl3P43ZvVOz6MVKIvSnc4NPgMChIksB+Z7afzjco
tpIbdM/oCp2Kscc0dfkWZ+/gxwgZD2gCml1to1SaASPiGLQEJT35Mw1t3ZvTFOP3ECnZbtGLCZgd
zswt9w3Lsnlss9OcVE9RbyRPTPHnV80GMOoVi6XfaGU6XGPagDrBCizyYhf8ZRUi2KMlR8iN0Owq
0O3iFuNieZONxlM0aRCzNVPWB8zh6WUqa05Qdjq3Im8Ipq0ZOHhVJmnZY3Ru6tBrfTzv8KUjz3SB
2UHd76fxipHoLikE09FlaswdSmRnI1jNr3onkR9myn3yVNBze0g89WKDZZU4Mzy2gmhZgmbQPsTe
JJb8Dl/WwYUM7EV9Ud80tnjFRKOCU21mU3RdGdlnO27UfV5a+0BzDO3Yxr0MxD7rkJkouqGxcL+S
nV7H2zCYl9sFleNd2wsnB4VGEPRJFj36565/sqrJvGs46VFjZKl6BLyVbImsMLa0bO7VWCqxltBt
NhPzblf3Fbr5hDBdfOyHShKq8iTwfVPw4bRji+Iz1imJcMey3mps/hKh3/Kg5HPPh2rZBXaCYHNb
hoH+skT12G30SgvP9axy9Zk8O1E325b8nQvErT54x4/CMCheXI8nnBex6JBbHWkEV66Veo6bA8Vy
G2lgAh/WFFudpudNkZahHZxi0InGKTMyqEqn7zEB9A0T8VV/IG/GMHfJb6+s1xRkB1eKPhvhkfpT
H7yiHqe7olPyHYljl+6RKrKjUHON/m7QYgz5HeJOkiuslJdcyAtn/zbhB4TAwLAobVe2ArVkvOfZ
xyv+CCoSbsteIQ/jBE8T86TylsRvUdqbua8js7tOs9HS/bIcNC9Ukwq3uAft22mwpx0jC/5Rz8AT
NRafMWrFYH7MRkdcNzbjCJTvTa1vltwd9wmY1huqY3xdMawFOA2Bb6WZ7DaiN9W+N0S0x47v7Muo
Se8KkZ2WkAmw1xhWeZoiK7oOqkrtyrGTEWpgR627h7iq/b7oWYMktrhyVIMNn0KeezXh+RXa8bYJ
AbDudBXrDxTsQMsFHG/GnJbm2VpRnMkaL++dQdln8PfDi4WTmN7GdK8ZJJheVjeGn04y3HcN4iRv
WfpM9/J2mb/Wc/3GGdWckXTbu1Gty5wBka8n9Fp/AJoR7CY9cZ4sGbYXyUKBw6HIjlmo2lv8wQRN
I/i/GgiZ/kphajHfIMlE2eGRR2dwwH2jP6fKiP02d52XwahxXXRMHA+JVU/X+NOWG8AzWFLrieZs
nBM0RCYSsroczjKcdihKgEt0OhD4DpxqRRq1Kbf0f8sdiyWA+qm7b7M1LUaVNOL20O+Nplj21pBb
bHsN5LZLy/ZuzHBPKoS+id9MwrmOTR7xLmICn7kb7TGv/zCBO/XEiuwIQVTe0WiMsOOjdIvVHwQ5
b2A1Dg7k44wy4tG4yGfTrEl/oqWuXgdmFjeGWoxvqDYZ5zJP2KaMPw92W5ufVwfZVrhl6FdGG+4w
YFXbhlnJOdXH+hPDvPoGMWFzZ+HDOlHlFhtES8kJ/VdMaxcN57TEKGWJzD5ky/CFFi8+4eOLPjMQ
189BYMC5TFqbSiBfgPM7pb4pc1M/txM7xk3MnX9nYdbawzttXsF7kISAf5jhQndpWizTnswd+5gj
9mJvHS3XRpKWb2Mb0r9NOWlFc6kfIz38HCAhQMaE9i9DKUd84Gxu0ds3jqcb2vNUBPpWYj8i1CTW
r02tjTH/NSEp5ppZ+UzFZOKRmvOkiZ4MNpbPaJSlmrauhmK7HSabiAboTxuEi2suVygIciGdijZV
T22DlDvue2cx6ar7Zuh8/FLWq5hQEE0SbZeHdw7uV9MAn+auQrGrGPkkDonmXpgzenls7bmKL//Z
ghVd3M1/V99brKH+qr7//Ip8Hqnhr8oi9DnrH/uTssgFuAXdwHFNTLzsmX4W+auy6IfY6EM59I8V
mAvQXEi5spFA3GLZ+u/6XlrYUiwCR0x2V1Lidvl36ntalT8xgyRwQvoI14C/RDch6EB+re6R4NRE
L/T2JR8yJKIFemx2CS3ye3TN7Zc/fTA/TSz/p+jzu5IBaPv//u/6w/5pWfl4MdRV6KRYt9m83d9Q
W6E1rSEhnSQxB8d2IUvxOK+JYT8ivmxmQS8hPPJXdwAb+L94aUwyOqtDtULPfn2fsZYahG0a8vJh
SSyQIrtb/L/clKq3OXOdieMbDcxqPwxWI9xfv/yvyq31nSuBMQzXCON+mrrfXl6YcVi4xC9cspxs
4I2jDUgbdLZM1RWufl5uyrm9//o1fyM8/3xRLhVJ7fFBWPv1PROwFPRh5YqLJQrxWHBEHkVuL7iB
afk+VZ3lnGS8euV6o0c2FnV9926vQbOZZvM51Paq1CYwZTq0SJSD7bIs8tV2BCOfgIG4cT1UAQ7E
eMWHeC2twZqyXJjmDyPb/4ji/hXc9eNt2PTFFkYrqu/fyarOCPSEFZ5gSqdxrTAMPE5ZTxqj06Ku
+LDjTunf8tZ+pdL9fFWX24P4WF74d3KXrekqmazGuCTGYDwW2DFBCBXRdz2Z6gu6nOneohs6w/SF
XDNH/d8lev/rjalMGNSOoiTluvn9Xhlcd+WPT8YFthHxsesNM7tAGsKh/ruccoOHyW/3Ja8FfI1d
Oy/4L1j8YFZdwTjJuMg1+ViroiLdDbHBIROYJIkispOvg26vd+fqKmVvyc3yEeOJQ+jfDYXmVmE6
InlarknXyvztISGkVrq1HuiXvqu5SSSpgeWJRQkldVyk7v/iJlkHL9yX/A9t5W8oRKNKICKYg6BA
4Kwu2CUR0RpOiJuVXl7nDQQOc02KruuYq9zNFuOcs0Rchb54d8D4L+W1Zg/TfYhbFhKWLjCtpIO7
NTqbrN9ogF5VzAl3meUUNHcu+qxs99d3+gf879cHq1LYjZnRcFQAf/vNC5gQQN47s2tcAoYI9Y74
tebwcd3QKVcvTQNrAO0Wj9yZDzB3RoADRPkhYCYo7lDNOe1FjEIz2y/jgvPZCEC0OI0+3f/17/n/
eQrC8WXKpaMrkKgufn0gaROKIDuQxgV/Gh/Ix8dsVE31YuiB8Vhnzd9d2esk7pcr29Yx6DucuYzI
mET9/op5F4pET+f2Mq5xvlZHTiuKzfUvJpKzHtTUXWPaRBWTnRuw/B4S1r0j04KHuF/bMpO59btZ
DtMduTdrsDs3QQwa5yTXa+LjI0JkRudGPe2eCJDES2KYKzUKb5xQvKHVYfQ34da8g9/fFu+E79nk
ymX/+C9JYYuTuqpG/nhBozdv3GpeGj9RWnJLYz93B+JQMbYlgG87X1jIDWl28iDauag6ASPws3Ui
Xit3IxJyREjyU7vhQ3sYQa8xNoURQoOnNw4WdGsEVBKMN2pP2OtDEKjAyBo6iVXOiPaH3FXUpNwZ
yap15AhYZY9JhvzeqYpLvwoinTZPTiJ3yvOQ4MHznbIhwgvInPZszCq9Nco5+6ozW/Qzoj7BBM0L
qIF5GqL3Ge2HfdXNUeHHHef3le5auenVZlLdwcWhTZ4+dJtylXBaCiqRNyilVZ/6IktIAAiUenCZ
q+uQIVBJe40YajRpVogsEkX3DIamE84bMdWNsykwCqUHbNyd8Oq+B84g8N1px8Ax5EmE0IHQRgdX
OqNXbHcD9GLFBq+5aCO+YraSxALTbwhmkXkUVtWdCkkc3tBuRYHvJOQshzgtP1Up14jCLoBwD2EL
oUYRbTmlgbtVRscgiGGM9dpCpIs3hcPThhKQB/FQcQq04BkQ6KgWJUZgEhXptEFG40iwkzo50Od6
TmYjIuhgs/yQ0pofulpQPfUJxStq2/CH9LaKJ+cowzg6D6nbfSVS2C7pB0mM1eOk8V0zDzE7yWbX
sEJnfV+9jLq+PButE1+JARw41FDxhv63ZK6Cr165ItgJsG5faK6sZ7p4CxNUFb1zoUzfwj5IcAFF
YeHrPV/PJgK/uaeBsvzcUMOGCyvXkR4FxTQ5sOS0mZ1h9y5r3d5MaGyrR3TOcXo9wMrDOFYUmZs/
KhbxussFkM2l8nO1AkG8Dv2jYwPIsNxA8P+GGOEPbFCJAyAAbKHBa/KRCLrVsxYNtsmvmyYFudBw
y5ydpq/Fz0IqV5mmfNIFdudrFE4UQzzBCS5HAYlSOlttnXkYZE+T1vKNfcTl5vMMu2FQ4LE8t+RZ
Ec9clcgcyBGBzljzMxiQVC8u4z4YkcaKbo4TtoC63jhQtUAg0Am2fPXpwCM7luGlV87SbRZyNV4D
a8SRGuvUq10GWIN1mPU6gRP/NLJ6fm+X1Xq36mE1yXNIydzd5k2Emwk+LdG67Lr58bi9+OXoOMpr
yrrgU49p0U/nvLxOC8hwLEbX/6jM3FPXMaGiU1VBwPTGhaZvGCtXK8SjR0x2TOEjdJ1/sShcdzug
XPK1EZzUXkfUces12LnPjBx5xLhoAE9hDePChdFz/1PUq/FE/XhGUsM5p8DiEFUJgfAkc7fvtbt+
lOtA7rFte/7247fN+56BmFnL6a6k7ESzZcXzXf1Ri6QZyNPbIsdoG4aDcUbeb5wHAEvXs/gwKYLY
ESKZ7/uYdsNcAX2MjjieuwlK1bxWj7PgszfymTfFLckrpRGMsLjkYkjWvxuauWq9MKH61FMS252M
U5S8SJLUM07b2g3rFzKJqX6nuJ3vPwqFJSXi+mpKMvtH+560GV9tzS/DcCYBg4mWZxNTDh2ZFOtn
RnXaxi4D5hkNqJwTlxHf3QdOsChrDp62bA5rHvO9nugU4SU+7u1H2jGrdU5zMuS1ZhsAEH+122WF
YpRElx7rtuE3H/gz8K7KcZ5OtdZArPgocGCmuuA7E9grH82PuZY+c4JQ2s8sgj8Q1wKd8xSBdYw7
rdkhh9GSr5FCp7fn2OEXrASrDs/RCiJVUe0Gb3AAePHi4xYyAiuZdsPUrGUQJw+69fHiyLF9z1xy
nOkgHIo7/tENDQ5gjIU828q1VcF7Hu+N2aAwAIBwtPmmz3j31ZG3U16bQGbu4xl9hcf+ld926GPQ
GiMnbrdenh9J8nqYcDKlhPk022RQE7CnZO5vqjHUokMeBfSAho3oGfkf9IAtihV+mQA/AGvglM+s
MwhBngYCBZLUAYXd1Xq8rii4RrIos17Z4fKZYrTn/X88BNLMJNEvxreAtCvGNzBb5rF2ucMqe335
fCR9Hqs45VhnVC+JUZbXcGeaA+V+fYAzxreKIRcFPgc5n8NICeqC8/xEuuB0N82h/dr8F3vntRy5
kW7dV/kf4McEvLktlCdZZNO1uUGwHTyQSJhM4OnPQrU0aklnpKP7uRhFTEgkywCJz+y9djhwv5pr
KLtNAjkIKI87XsqeV3K9EjG7W/2NyjkCPLSn4EdlxeHjkjDUP0Q6QUcfsptPiDN3OZpsttbHWjJZ
g86pEWTTjva4LQeKIsBs1EA2U+6n2Sw84HeF9WwbIT1AVNCGuDitn5Uj+ZAde2UscM5HIJHySHz0
U0H13lkKvNL6DnkSUSP3PieQbIkUuza8izLEx8Vy8BGntKg5R7e5UbS0z8BtrGfSyflahrVKW3AM
VT8qxutjc15MrihRGRgCwoz3vngium3sEHAlYe9bCdDu8fqpSTHpiPxEq1rwEPJyMp93UebgvMQ4
cL82WYruowRfZi4zqOHAWRz2ghXedo/R3dcuL7m5bDfkdMx66TlIauFIcoEn+jHLE98BChl0xzn3
qnrnRWPlPWqpVmgjG40lNqTpvbmYSbGmEDv22qxD/qoa3VOJO7zdsXNV1bmefH66GjO7e7JMW3GJ
JCUf9LJmseN6X88+bRfGoU0tDnlKkXRtyV2IejHDz/bm+gH8OIvWxn0C1vjxerDKNOCJc712k3RV
8+sB7Y4O8vkzrIHk3fX6dO0xOeDtHw/YUd3yLhhDLpHQHOXR9crpnKUz088fF0SNXvm7CJBUxbWc
5BEcV4QKjy1I6jNLuV4Vvi65KUr80hcflMTB6hrrUnjrtKHsIRPHftNYJMN7DScRQkSS4HF+9QdJ
dOWyydc3ZKiaqy+X8H6kC+YAQHtCc0LvaV0A9ckjl5z17GXYzLdWBUwyRiPJEwY9urNvBRfNiGD6
1XFy6554Glwq2cJFbZJjSwSS4tC+noBuOaCbwnHPhw2RaX18s49g6Rsobpv1AYQGJ3WgGZMuyqHQ
pnJK9p0RQhVsxvXVFuPAbeYQU+5gDpn1I5EMksh6WrXXSM8Ufl7K+4bZjHcO0s9gbAtXEr8rqYUw
r1hhro/DODXZPek1rJua1fwgTSLdaRoH/kKat1ztJsHb8nnwRoqQ1Cij1+t2qGHzxvsNIlh2ox08
jaGu7xn5f8mMxIjRnfdHDx/fJoB6dqPKtPieOmyJA5uVs+PTUsdTi+LZ0TweGdjzRFp5vfHAyDOi
Qpn917KY+ZxzwRfaemrRB2MsIOg2JIuw0cBInE26PjHrL+4ct7csJMhefaKz18fGYskbE5Xa3CUt
kd2RrqgXfJuocKAXXGEQyXHigbgdzHO3Hv5nFL8MIiMyxy9YU9Bh2RWbGKO1mcIwZRsBiyTKeEoL
m69H1oJ/dpHFh+R48DeZAKpN6GDnZyTOudRN1Dj1WtJ1WQigEOQdOYOdEQPc4J5ZG+Wy4pRVTsSt
GmUd1G9T8vKSJWDYZLfUB26ieKX6+jBJ2M58XIB5lN9aakyeLpGIdsX6DLdYBb0mYcIVdG0MUzNt
xBl0FJpFOXCmtb6GbM88DeVc1ka3eZS6p9Ubd0m1F71aIKy+4nUPQVrBWKEH43ttfJvnJ5wfrtY6
5bRafOBpE385vp6bBEasmDUemLu5Ay5lV2u9KRLAlChv83qLOYAzWrvi45Uj2SKte5Mdt9BQsVrM
EwP+QOvtwbTyupel5QlEb5cdbS/Lv7mTb/Y3nhi544Z1Fe6VoGOgia8VRseMZCW91WUTuqcgWFBW
0rDp4djT3+CxHOWhHfpxDwTLDulVBu/NLBfrmTSn9oZ3zKnEnIePJMAxxawpsekkap8Hiz/NPjBl
098ugKBPAg7ZRS7pehxcS2YPLo+P4hZ2MkuaPUBrYNj+PNh7/nL2zBJav2j8AbeZO+cvYiTMrucO
4XSm21n2PBCJuwr82iSX1hXGg7y61iincbA50tFHpHfGl1E43tciGpdvaM2m722le8ptVaXEV8/2
jSUAd1urHa5ajXHIdPDIjVe/XNc1BUCSVndnz9H5JV9ddWnh5+9rMaRPQNgmHY81y/BydeFhzpgv
kSOSl4zU6S9AlPlN3tWwl1/Ne/Aa6VgrKJxWHAwmtgCkZ/7H63Tmvwquv9nw2A4tz0+DrD/Fy1++
TW9f336Wb/3yI//e7riE1rou+RX4ktZdyk/bHWZcv+50AICZzGzQc1HBMJNn5PyrrcnjX9EIsZ5Y
7wVSLv7JTsf6Y24WyxxY0wTE0n/gk/pTjAwrFj01Ujh3AflnrzMV1Wl2LEMChqpWr2uNzEqL9ozu
q7OwLnRMgZa03yk/rNDk9t0tVIzR/uChcrm0QYX4tNOspGNbdNrbjhCqX/FoTB94dMrtkM5o78UM
Uy+awonghoHBE5btZjqMarYeRx44H5spme4XGSH8WXuFEbUqoRDAdaXa57VbHgNZ0JTIEs90IObh
4Ee8xI3ICl1ifG5dGGAzD3V3JjN9n+lQpUdQZcu4pdQwPxdj1ZM6OZflV6xb3X2eshxnlFfrexw6
fboBbcF7x1c4g9UCExOc2lm6ALytUYtDP4NE2jpYSOzzGKY0lpkHHTk1GnbpELE1Sh5eYHvjsh2q
GYnQUr+zQ9G+izCvPi5FOd13lUIHHACdVhkhDXHStwQlKhkc15j1Li7cdkmPuR4YOsL1b7YGVcAg
7lAuvwwCVNECXjsx0W4fE8vLx0Od2Clqi9BrynQfyNxcTATEtYTCwpmrL06wQJ+Oh3kyTjx42xHX
c9plfgwXJmwaWGbh1d7fIzrCdUQad7lh3Im+IMTHNulL2U1ulOzqKpcRrNlU1nsRCsD4WNccn4Aj
IyuS+wTHB0bgFgdI7PWDQzRHN07k1PemMSGEoz8L2qPZQwm/sSV6+23n9tN64ZAguejCW/Zg4hRM
19pX1XQehnEU5sWa62JwJCVAj9+0xrBgg4v+kCaZbS8fYTyRqfF1UN1Q1zx3Fsiu7/574P2fVtou
tJ6/OvBehrfs5+MOTcz6A78edybLaabp+Dd86wfI8N/LbIuTkJQycnrMKyeDXd5Pp9966LFj+e3Y
Czj2TKbN66onwEvh/ZNj75pa9dsWhFdEychZzvmLPYR47nX98JOZkzFlnrVzON9FzWIsZczGY573
XHNotGrw30R2UOPRN4mb3gOgbs0zfSiivIdr6cSIol2RMEzXxpH5WW7R3oGLf6gRs6AK5PmfJ4AF
HGWO03Ksa5/C8NEI4JJ2qFSJC3VfskRHtaBUA7/gp2pC0m1WiXEf1S7MhlYWsmfqbllt+N0RwZyP
RwVnUk+nNBgxQZ+SQBvFmQ1PNz1RuJnuk9EgndsJN7PdXcphgmiFbA8H3AMHqcmfRccjTB/lh42M
BTjrPDzK2uUkVVUOsLzO2FsymY1V4yfPTW3jvR9aB6k4aZnVMhqfOazy55COhNzcOiuQLWLdZ2Bz
osxN91mbjG9sKHPu0xoxJzk8jC9RssYRsTZVEEd6gcBzLuBnAEHfQCghe0AxGOlu7B/nU7GeVVla
ckrB4lUUPaWRzk/GbI0caGZaFhDWYCcCXLfha9CC/jgELTPFc4O0ppzYhD76Far1O4HzAkEvQ3zb
rqf/iti//V9OBJwtFCP/2ekdv1X591Y2+e+qoB8/9eupwK3PZoutHnWH56F4+KkIcv/lcmKY+K+v
BRL7559PBSbymLyJvbUBc/x2ONj/8hx+IdvMEPY+iXj/5HD4w44bqzkidtvyUX+sRwQV2O8PB3Rq
rWCroy8Nrd5uUiv7t3WKoAR8pya27N58Lqiayp1plsPHoXWnl9KFnb7po6Z7/9On978IYazfaxqu
r8Y1I3LI2NmisF+5RT8fVW4zr8kk43Sx17lISn4SIOigBdegp6HFh6jc8WMwCcYGsg7XQVpxVZ0u
+JFi0KTN12gYAOfQJo80yJX1sngIeA+z7yXfeFyTCfTXr/i6B//5cOXzI3bSX/MnPWIu7T/sbt2c
7Robs+HiaC9FeA/t+IXiIXT2QzDjmp/wypPBESQhSwEfWdtcms6hZmxubeXENieD1MlowGDpA3wI
DuZQr3O7QHolVvW2yB7KMTrX0Bf77aogesVJfZWz6h1cZv8O385UH/76Xf35awC8Y7Kcoli2AD79
YfmPMT9lAomZuhkYzLUpj6iNW9pcGqJBa6G0xPmfWNWHv/6zv99Ko+yjPOdB6KC8NNd/rC/rpwcV
B37qij5tgA+y4MP4NjLZRhQeJtnrX/+l3y+Kf/yliAUsK2RqeR6xv/9LZFHMSyez9hIKk/2VIl3n
kAwohjelyHZmNzI9dMw5hJ3meKr+u4tmvSh+vmh4lzb2GBvSDpM/MBC///OAsXKWfnV+CbrSe6uL
EaE0/tzq4C01RBOMuuRA8NUfVNXhJunKNvg2sBg4KVhtt9p3pIn6t2hLltlN/eJIpj3bLJznb8Ig
HMs0ljqIvYhguaPn+Mv4N6qtP2ZD8kWhv+HYwE7Dnh3h7O9fv+mP8Aq8xLiD5Vm/5XKgj7CMckCt
68xzk55Vlpef0zASt3rpsr3fuppRMZyh71TzSxvPxFnGZMZN33LpBF8nWOjB+a+/Ytf705dMMc5F
xN6Z5pO7c3Xw/HQ5+cx5TJkNzl3hduvkZ0vkIBTUQTvRfsD6HEvdme+megaWB7MqiKXVHHpbClCk
wo5x3NePovJqjUtSpZA/CSCY+2FggtmJF4YV4TZhLkZyV0GGWo43gFS4om8uShj9fWcgAU5TC4cb
+T4rCX3K6iPsnurRLtKHdG5w61Zj0F2ID3we7Npwtv5ED2Hls83Z4I4L+YsqLG6rzAs/0ne65wzR
IopyPUWxMjOKGS66/GSEEm+/msNlayEJ3y6F/iL6bngaTSPIMP+iY0j6bjxhYWCdmVmqPCSBgekY
eXPyGZGIXDVEnfEJCBIOctHbpxL0zckirftrzoqd+96py6ecJhX3Q+eSGJ5IkrL4HA5IMaL7jn5y
xzC621uWtqZd5QVWGk+KbCwonxmtVO8wBBLRPdul1GRt2g5HHjU2aG6zgGkM/ewDUuOMRikST54z
4G6NCD/Z935NdrXfYlww2aeBmgghH2htvtksnL/3KAq8eLEHpBMIhqd0r4ei5eZQajen0xjuZZtk
W4wbJK/xnyJvcCUhzHCgoBj2RcGAPVFrTopHdh5bgyR2UJ3XB+mXu9QFk/xulTEQmSNNxBxcScPe
GUhnBucZ6Fv/R/81/ujG8EetvVn2o1PrwSYFNXYmyVHefrF/aevGH13eUA51qc/kCS2HKRqH5FTL
nEFeYZO8YAbsbwoGnSPz2IjojrkzATQstM9osZKE5+FQlUBF/FKlZizZmiX3sCnWfrOcA7UCKapo
uCWSZe1K1Y8elTQhA8PU2roys1j72O7a1FpYOet9c212QYSvnS/LPZ+IE0SrHhs8s3HjtqdmjrNo
VMleVZBkd31CVQC4ZB1Lh4vHidmAs1hDPdbF19TP7NV6Yk9q/Ch5+J24HPwLW7O1h0PuhmN48a58
ouYXWlGj+w54UU8XIzMMRRn46aSfkGUiDWjy/Vz59Uw33YNO9uyZ1VOgvbk6gBfNjZiv1X5viBpo
kuP4LC74n2kQf2KCqxkHshWKuo6giMpoqHYlTujHZd1y7WGq2tZNBtOALCjUlNlwSOQkmicexg7V
+2KX+1HwCoiEq9bgNYsIa+gas1B3dThzaRvcKhI8gDWeJRrnapsmTjqSEo8eYJMH/SqYIDeMaWnJ
VGob8gKwJc2QAU+0D+4xzYMS9ktZds4WSAnBg2NCOoahpIgeikQVLoxYElw2NZsG48ZE2rK3BIEX
vNwoEDuLdPf2ROwnepkSVc06bFnwBBPK03D54G4lmTE3ls2gc+OTbOYW/lzOfWRfLJBxpBSGBGY5
zzOO+fHiiwgibBN1w503QrE4pH1Q8gMRK3xnn+SZ1bCZrJrsjDSk0vteeQs0myEdnl3yHd4IVlwX
ZBYX734kcg9diA+cfVPjJWN37nQloD6V7HJYEB8rtSomC3yTT73nq89CZs5xChQbvLD0mKs3oDmc
vVe1DPsbiYJh0QKLGiNz6/nH5F1h0YFLi2JK78h7KQgf1Da73CZIe/uewFAWi2a3XpxFsQpyKiL/
2Bi7rMXMjrXPJlMNL6xl0GXd8ARjMRayRYYzpkq5RSMOcW3oUc08FHIsy0c7xP5z0m6hxjukV/yC
ZN1BeyVy1F2rav502y6oX7RdDwuRGsH65teXrjifeF3rDsv1Gt4FUX98VBlKETYs5cStI6q0zN81
MljTekaqgpR/x5lqD+zAOsuFNADlLmMVlim50sAMAkI2cAo7jU8HCudunjpWQfx/9hW8Iw4QHVlr
nTw09Sv5gtE5nPIcphkwd66LdXOumnXhpCV7LmfQ7DVSytziBoxHWTyFPC0OfWNal6uSgyRwwCCZ
m+X2uQ3TaLxJsjadtrMMOkWBOzsHYfOxxmbQzV/KqvQe9Nib7bEz8fa/V36d9seafJfv8xKtZ0je
sc+nD2BPk9szuF6B0+a9QZA5ybQM7eBicMzNUmXEvA39TVSXhbf1bGmnHHsYCjZTZkev7LSmdFfZ
DbfJYiROdHIbxrffWCWgNMFGzL2h1hN7V3gGn6ielmnHQ0Z1N5YcbR9WUDVAnMLcum4Eu+ITi4To
2Zgp089LNADyHXqCWTc1sxwolcDx9U7XVoYoVqX4nYhIzFTM8tHfLy0xRnd6DqqnYiJiMwz6o1vr
yTsuyufLKU2rXw4CJUt71/javTUG0213rNgg1aezEhmcQNxsz1Qi/VeCtjhGODp7ANAZ1IpNpKaw
4ykwd09V2ln5B6vFE8OmnwpsfhGDg3wDiRPajiwwyvRsJEJ9zlJmknEV4Ps55ZFpvdO9ARJejl2f
78AXc5HC8CmcBw0MBDqNT7LxphOom+9W3w4kX6obBuFQs8DnhA2wGLkENWdH31c7Sztakp9hh0By
wo6rv4SGGWznZDYBQYre794jkiFX45pWxJMOwV+V1v1DEzUWB6wtomIfopJUGz1+ZJ2usE+X5RS8
oNFnxau8dHDvXGh402OX9GtwHZDreieI8Oj2NA6od3LchO1tIEXmPNjarPxTotuI96W1kd6V0mBl
WRM1bKOnq8fhrqoSXr+MmCH32QpFVdo0oQ653Pez74M9cwmiuLtWpf9dJv3NMslyA4v6+z+PUk5f
37L25+HqLz/x7zGKRUwMVQnGHsf0ATn8Nkaxgn8hXbC8dbh5HaP+OkRZzUJmhGHIx9zsXil7vyyW
3JVATOtu2jyR18bd+SdDFIYvf2jo1t/AHMenr8dWwhPi960GTr9uhJjhX8hHMk4pgs3upiFrjxRX
HoXr/I/HQek0Z21GfvW05MKLPuNj+pYRj/GEzxfruNU6z3SL+n2JCPwGC4AmJ8kOeRSIxl9BO0sf
ASpz1kkmMXWcjVmqVPdiNh1md6qNyqlvygjf+DRVRQFTNou6DSkM4Z4ozOZUJzNB5AVa2Bo37rap
K5c6PPT2lA62vWOh+64UHHWbwlTJbeUIcduPFGvYKruzHUn1lef+J7cewq9u1Js8vNvgYIpcfIJM
bMauV/uEX/ZvCAws3i8ZVOjj2HvcEKWhj6Zo3T1flHEBiJUQpxlM+wxpukxiGUGol3HAOr2e9l5f
kY1s56q4N7LMfs8A5dYd8Q9auRZxn2fm49xDNh/GDsPwYL6vvDx60eBi7nUDX0HY0Xvksv5uMuc4
cab6nVsY3dEdpX2RdS1PY+jAKizy/LaG/nzy/Cy/i4zqLRo6GkGBU9MjXfWmqzGXVq0xfe7LIDnN
iefs4egCSKJQ3i1FaH3DiUZ/E0IsO0Z2/m0cbbkjHU9/8KxQNahTkA50rI1wMVbhJ9sey50XgADQ
Yfu+zuv3ncGfRg1Kn5ep6WMyGN7OcZp2h8iZ/l1AydsEqoFgU9WTZ22cPKqfgkW76PLNTJzWK/Kl
m3p/T64ixlXkjqwL7bFDURUEA69+CraIdSfnYE6Oj8WcyMxx45dW+uiCRXqY534B7p6Zcba4HXku
NtVybmqPvwILNaL1PwCClMh6DSd/UqCdbr1azLfZ7Dt3dmQXex8eywONn9w3fa+/DKFbNRvsSkM8
lob4HvU9aC/witahDgp1S5JIftQQjG+HJCTUXPsq/ZqheV/FMN4xs9DXbOZRBMgIyFehqw5MKqfZ
3PgywtsK9AFnf+cDAQA5ML46esakDv7IJim57GaSPwHo2GkGojezSVc2YDdv2tqObgjy0cVmEC4R
F1PXyn2keGh0vKgASfa5X+aenAbmKeRq2Nn3dlxapI9VdAzy0r+VnvHVh3+wcbKsoKUn14UwWoPp
DDwrKEsUAPugMKP3+cQiFX7fjUiIXKdhy/ZV6pmfJ9+q9nZu+V9KiDXnRdcTVvMp8w9KogqX1qA+
MLFxHowyAb0RhMl+ZOSZQjVU800L2XeIYe62Z8SAkJQoorLdPNrLA2uPdrd0FPu+r5st4w1S0DHl
PgJL9A7occdXL/Nact2bDGBQUkLGiNL8xhDEd3r4mmsmp7wlhjQrw5wxE+QiBXFOTjPUyqlgZJLM
uxzr7cukO80QtrP2GXunbRbNfCWDm9xlYSMffL/DIxPK55xq+DFyxqNsnIWoJzhwrQ7OgDxztYHv
rE9gt8hCUH6LZNs2dpaCjUKmTDg/YfAXd3U/2c82vKVPOQFQW8MnFAJmCBLNOc+SU2NGwZMuOptl
Sx87Wph3dUA4VtOqd6nbyZVeUcB/CJEMA8WKW68BtVTnDodCF21TVlWnpbO+Mi7xL8LtmhOzKftU
96O/ya0e+0QjYIfwJR+INsFUkItng+U7jbjtDE9LlM3fgF9gJ2DNBbG6dt8BMFirCYt8AyJz4Mfl
XnkIWKFvyagaNqa9DDd5hv4GtS9xC6JJYz+c/DtTNxAU0B+fojRT24To3I9Ou3KwAd/FBm38TrrD
jDSODukjD8Hl6EYRqKKiMzZaZUjwfXf8XiRGS1uRt49951uE6NYoVjvzLV3qdNdZVbW1KUsP4YRl
MRYAmT7aSzrcyrp67Nt2PGMXaWJHSnFDmO7wsDReu1c6XB5MK4/ue2gG3WYYk2Xnpr481C4pD7aj
wy1DsGk7Bpn7jYHWtMM4+mUk4yEuOTORLpUqiyXBpLeZsYLuhafew3zKY9cSyyPgZFJPnNb/OIYZ
94bji+1CRMTJykt912SjwYGVkqXr5e6nsoIpFeLuuVhJ0xwWs7XeVJ26Wz0sL8nIkW6r2T56ky8I
BsOk8wQ/XoNDXEKM7dXjYlonqgeTcYxj+fjRZr7gBoPjNsgnbFBlikvfq+MCZPpm9pvsoUA4Aay+
S9WrmfrdOQITdU5Ru0J2LZPoyLlJVO1g3vZMax6BKjyMaU5KcEViPbyPEk3AOD4Xs12fE7JvuCXy
A1FrhFYvaXaKQuOxnKGLaiDQIWhPINFuk4boIHxSdeC07HpnrGMzTG6JlywPLR6kUwKMgWkC4cZK
ELTMDZXtxxpZazqMxcbWBMvpMKlvU09yfKtEvWW5KQ4GdfzNMvXBFyuoqs+yF8bF6+W73qm9pyV0
X4gb6y9llHS3SiEll4OxHMIxGHedF0wvNCPjmUzhtwJB/CkryA/riCY4TONcHkfIu7iijbQ/53Yy
7tw8dR8Z4rcPpJcBD+fJNTE4e0eQs/2R2G11S6ws21nHSqb3Vp4bK9LAu61FXpzt3NuzfMICDNek
9N1XbSiI9jBtdjlclU2QTtVzFKbiMA5hdy9C6PC6F4guu+RbWKYcgQDtD2EfEWBJktSxb6tV7Oaq
G8E65cMUgQINesL6xEJqMtTh5bvXVc9Z3TRMYIrgqYQpsB+sciBEIiG2tnDuJk5Vwl2sT0kPao20
MGLvRQud2JhJjNa3MC/cl6orm3NHOvzONeR0YCkT7XNdJp/kOGs4Ibn8pI2GdXTECr2d7OkUkMyw
B5b4SVmcK5FJrAGLcRqn9Cp3fjNGULdyduhHw2I5R9FMQkVa3ejhhoWYy0KmraFkVG0aZ6FJGrAZ
VC+F4TdPFFUl0VIhj3rPSkDzqTIs7tt2sA5RkIoLadls/x1xCLUpAU0SkddozzhkhVvvAcqnt8Gq
XIZXOh7TpMhZYqnCf+hg2ZwyUO97spBokYoCRJWrPvV4ReOWfZU4MM5Z7oUKirjEInxuF9nsybTQ
b2OYhHihO9Luk7L3vU1J69psfLotgE2L/tIQ+fPJn6fYpMx9q9Mo2fJCvtdj3e2LuolYGaD1Y/xu
4topSoMkDsnUjP0JsVqWWzYswO0S2KHrozqvuywm8/prMoCZcpsF5nHtE1LqRYjty7K4p+6Nh9ys
9op4172ZCJ6gKqHV5xyIeQgLtimheUwcw/xO/JyHgapCxj8osnj8gbDDNWeV0oOpdFW+8wKIsZve
nPVNkvQEnTY2Gal81Z/QBqVHWyfJLmhGRjXp3JdnCVA5TjOj33YKuTtepCT4gBlPRqRzBd4mX8x3
geCBxEw/LS6WGqwvmvCu+0XD3jQnu4qdpLRJX1uqxnoKdQJBhBj1MGu/5COCeXdT/7CC6azEF5Zc
TWKDDqP2Wc0TnxprRwLGgFFejWWFxHaFzaxaPWe4VZivROjA0MNhTDOG1aM2rXY19gAY1yJeITWC
94GfaT+xKEz2s002E+FqoEit1QRnrna4kSnFXSf4r9vebz863HlOOcs9tblxV+Lr2I7pbB9yuPxY
7IRuvsrEtO7a1YHHVpI4DEUzdwlG/5k4RgHUkcQMtxJ9wpxpETeJR6KGt0QSWUfnkApF3oaBjO2d
qbIMqXBLBECbqfHoVgBnOQ3mLVWfvW1dShgUVfUmXbM8/DXVg0Rpmwy7nkzr1bSae0zS4IVDXfLn
2tkEBn/PLEX7ovPJfd8TXgwtORc1McqWwX7OrJh48ck9Kif0iGYY5o/KS+4JGeVjNasIuoyK0u1U
pGDSoRuYd7NI7bgY+n4rYU6xTPdCfyTFWBBYwlOYYCjNwqbooYZvetHUZ10XxXMaVqzgKT3pmfrp
MjdL+lR7S78P1w87QaVyMKKB7ssjaONiJJOSRDnrCdyjYLRR9N0TuZmYjfKW/3SElXUqe9k8DimY
U2ZJ3avMpPXBEmH3oWnT16QOzFvXJk+KCGETnrQtBHuWCOjjOJk3KIfF08QCu9kmiWiCOyKk3XdN
1r0FC06tjSCUMsOHZLIgUCaP/XxJCYtB+QOnt5qr94VJbhUe0OQQ2hELoxmA0oFWCFScHNXXiWTJ
WNhuetPXqdjyipp9IQtuQg3lZyP9wZs3tB7UOl3egejNPPV5oeqj4jdIkpItKTfdNfCmiar8UaYR
lVi3SOywBbE4PdGVO8Q40UmteTnZmpzjZWTo1JiML6SMr1kxJOz4RO1UYbu8QJxKvI0PJhe508yh
YXrl/L7kqLC58hWQqCJY7o2ZAB94yclhsKfqkT1fuHUWriuJLWUDSzs9Q6bLURXBwM3zqD02RWLF
BW0Zus5mLWQtT956DsV13hD6yAlGuCdhfGzz+ryouw/toML63gJe7eAw8WnGumsC0dQyyiLpzO+R
+zMSWb6u2XTqwYqM4uhjDOYXTsb8fmi00M+LMgqer8ZAwzs8jCYuMns3joEN2jlypFY3fCSS8M32
qp50fkgp/z+arT7DraEvrCIBpAUdtp1a/82K3vrj+jZcpTEIZgKqMqY7f2SDoKhV2H8tdUmN3tsa
kZ1hW0UYgafCYA2WpJ/s2ln9PGen9PZoRsEaWoSFJndiXEhAHMjbMQ4RoSQlue0/zab+F6HKH5UK
19cGeMVatR8IdP4gkKitqYN5ZauLEPISCGrF5JhPl3/+RyzXXZU+AG/+pFb2ikHT9E7qQtQu01la
YKjtTdD+UCP8dyT5NyNJ+on1e/vPI8kLWaDZ/9u+kWz+9vNk8pcf/GUyGfkkoHkAFRDKAFWwV/n6
rwwjE9knc0eUJh5VArEcvwm8rrNJwjxcZpBc6AFX/6+zSe9fkcOEJODHQsfm2v8ns0k3WMUYv4lN
QHig5QHtg7+L/G2Gk38Ah6BFEgR3BvbtQpBauhzyfs1/3IIyh6zd3xnDCuWukWcTRugV7CtcAggM
WGNWzLji2KO2ukWyTWJTZ9QY5Tso8jhw7ziNj5l0xnPIwbR1q8i/acfGeOqaXsRtkxo3Q84Un1bU
f5oAVL4UrD6bDWoJ42CJroVAR6Xv98jT+X3W3gYl0myiKXEORRclBNsKvcm89Fjm2Z0P+JshpIvV
sEveqaW71z2R23yOsMuEdezoAjbo6co4qPyz5VIPjWVEhFP3dfQstR0LQQ04ySIG+DbfJTBJd2pA
Nj6ZGMJ8zM1Vb+wSjJz72VwgyLUE3bKwOyB0b95H81SQ8lvm24VqodLyXpZkbxppOeDvHpx9FdQY
fj3Md07t8/dra631KG6HJoyOcz/mj0Gatdj6reUoShv9BplnGyXEdEyH4l7OEWUjwMtd3eXWZmTS
vSG0jZhN03O2ac6ACIY7o5e26s8MB+8yiyRly6kfaRzUbkiCA7RGiJGoyRPWYJs5amXsYi7d2ol5
MPLCir1sfvWGaSbvdH0Tohy2A33ztpqJZ2S85e+qcPyM0AwwnK7PgsywG5JK5tix2Wwuwd7IK7H3
FsauY+mzQgbdu+k8/xgl0XmYYc6Fpc3Ge0kM4iHyduOYo8c5TL8MqEjveY6TwYDc5mRTfTxDEV9O
vcX4IGDatIdZ5O3t3pi3vTZdFtCev/HC9KBHylkC+txdZBWfhBbuDR7D09wkKGo8uLFjL+HiV+kh
czAvRR0wxaoydmXRPVN4voZ6uS1sFB4pdfHegJ6+s8wlOwSiflu84lPRDe5hTTOLVaGanYno5NzZ
0Td3MYrtMEXedjX3VkynfMUlEcr0XdQW7R7v1BzbeCdivHPxFJJI5vZgFa3BO3V2YX2aXRCNpexv
tFF+XkC5E1AQih0U+Pm4iiYg8zYhmWdcCzmuqC2dmXtkDEsHzUI5Nqv/Ye9MtuNGsi37K/UDiAXA
0A7L4R37nhI1wZJECn1nhsaAr68NSvlSZFRSL+Y5yJUKiRLc0Znde8/Zh98rLPnZUH21LXwdb71a
jUSlzd3BCriCjQidvYftYR+L/EHaXnJBMEK1F8G3hP78KQO4jiayZ9yXjlWpiNArZ+uXWXZbMfyP
auWRh1WQwNxmobxfIbBbsoqK28UPnK1Sy4XqifYI8mLa0QNjrlmAU3XR1O1qzRaztw3zmoy5BYtM
Ue1AYKTR4BKVgeKK/ZefeycWubtRlgTj0baTk94d7TNlmMPWQEn4QAg2Z5H5/tZ2cp/CPZy2SO26
jemuEaJubj7MsWNuesPyeHI7EtPSFln1sGAQXYr6rjDEfB23g3lq9WpalT108qPJKKCbt8FEY6jy
oqFEuSqouvZ81OHcN2rBDxrn5DeVh6bwLg2n+JaRaUjWC52nsWNUMwSjsfUXzme7KBdPYom8W5g/
CHIOtii13dN2XJAteP2dGWQnA6xBiOXrvFC6ayJxt5tMuudpyL5+mUpv6zh0AO0u/D4g/iJu4zq2
husSCMyGMQTi1Mx4qRCo70tU7LL3z7OJn0ePcpg8fPy1U9d7P6FvV9G4YabKPADOQEDZm33tGhpk
SbDcqQZbKd5jyjjmRxvg8n0EP2vGDU/RI+uOW4rW3cVs+3SM7K9hJ7C7gEuNxkq5d7GdJrR9w92A
1sPkUTtop3sZkVht/GWOL12ZM0QoLeuUQr7Y08MdwUJS0c59gTsnrIJjKsyrprS/eJ46zxMnP4Es
+RhMpMX6mddH5Sy8kwF86H0YjuDgJTb11n/xUiCdY7wGFCfQpa3hzHd6edkGNgQ4dvYuKJ+LtcNU
m/K6TGNKDcEWN+66H1IO5pbAiBj71kBonjNk29id81039eX5XE6SxgvubJeMyWOZ1xslUoJOgvB+
duZjQ+18RvLasB/tudv3AdxkHXDEelnuUUFl14q2f26xCGkGVthwQp5nKyn3cnBdUh1dwq9AuxHG
l52RVXOSyI5B/SggzPbk+5CVa25xlHlPZaE/T/EwHP3Zf24G9rBpUtK3s/vpwMjK2CfkkUc++Kyr
vhyvzYRtfgcuig8+XbRM8qPetYl6jG8bqFqY0bK97mik80KjV5oan4aQgrEz9LPIWpt34TCcBOMC
2yFjUjUjFzvy/s1O09GZDgktOAb4BnnIa3pHAAOBiHHh7hN/Enu7JFsYU6x1SPz8Exmp7sliBNAI
1ZkqOrlpjeSHMFr/FO9xvDf8Es1cSwCz22A0tZzKPEVQC+/XYSUnFibeS8Ss2ymYF1F/o9lV9w9O
1seKkMvAYGRx1BNEqJb00y5opsc+HiufR7HzVI78gLuvCq5iV4ZTu2qzivUha/LKVYJs4iYbcX22
UKcfxICIBazNPAPeSHauAtYAO7dbqFzXLm/s3pI55nvyCWRVvdQItWiGhlHeBAyUCRArM2gZG3Rc
i5T/nfj/r7wTbDnZ7v7n3TXa1EZ+fX4z8//5d/418jcxhjrk4IVolNm2rirp/9lYr1YrhPdAHH+m
5P17Y41OAOMns/2f+E77N1uVx9DfskO8Dq4rfOufxQ6/8hX/va9mvEXcno+22A84nBO+R4SahC+Z
UOONswABb07vDmDFPHyWY+jU8jQ3SfLosMEzAMwPPuTQzD0n1ZfdGnBsx/XpRpLY1hIXGuKeEhe1
gSreA9vSo9XJeTeXklH+ADNfx4ciyGDqnrt0iLFOEWeSxwPhQwvHejBdBnJLskkGdojpuQX7GHAE
KwDLQBqQQmSMHqkyp4I6AfWRwP80Yy+NR/PJrmXcR3Q0ZTvfkdRiWfS9nIQ8yyDVQxpeZVnPNplX
LG6jwDaqCE3gmiU1yIX2IT4BcnsT9spB+1Ni/t+i9A9FKRkO3odF6WMmk+yd4ejXX/r13PjuXzZP
BtWtC+KPx4aC79dzE4i/SIl0EOzzBGBFElSdv8QyIvzLQSQDQM8UHv1VHo5/FaSCCld4iFp8oJ+2
TX7DPylIX3U/vxWkfCgOj92bf5JPsVq734plmHoy75wT6xgEc80GY2wI0IZgB5xt7tj8iB0k6S9z
HbgryzpJH8yhZTjGnooJajJcMjHMGOONCEN9AgZ3ZOUF1+mMfVESf3ff1BQHbI6Cky7u7+MxJt0A
CvxXU7R49LaSE/ygpFE/2j0Wx7ZaATojhKhnN66bs2al3jgzLMSfslFtw78SrccP2Z4TPvZeY7wU
2tcPhWgq/ULcSOjnpxlZb5dp4+8kO+0g0fmZydQuOHhjXIMCcijyNokxOJdDj81xa6eNcW84LrkI
kL7HXRsgFfE7SVhflVE2wmrRl5bU5VYWafClLEpo9KofA05LY9tHi7jC87yFtUcptpop7TW6Npgm
d291ZAmzwn5zqqU+SybUg26wMGaRTvFZYk/YMRRytoZP5CYRYNPjKwAMuh6EfodC9dC0VXsdh2Ar
Dux4wXrp0XjqVZlRamn9kJqKjKAM4BfrK/vlR8i4Yx/5nkZ3uMiFVr3OY2ibcZisIm16nvZV96rT
M1zPupfQy78OGDeXjQcx7slJwEaCD7Du9STWs1xYnAs4INZ9WLhsJl5RZUxWwU+V7Ypi60VpjjR3
AQApZu3wBnvFTlS0NdrEwB2RFAcpAAwIQx0K9amGNPkT9vT6yxIs4IIo0aMj2w2vnJ204u/Qby38
85bO6JMdLojdwWLGjznJuRmvPWhtPTLplXAFFn+bwOl4DJqCN+qrR8oaDAJRZDBi4HoltNGM4WtU
w5gdJh8tCSKKECZTCuyjZUyrDiiQgcdLrRZQVjPHnyvwH3ZioQbOnYUv5K8nxe6kk5/1xQICxghW
WNIERj/ZwR/m7FZj3CLEqhDwJvGI7N2dpci3gfYRdwXMCe3LeCwZ0ag+NinB2hGhJ6ay/vmVtpUV
qzT7F4Op6VB7IxzrIagZiI5G+o0ryw7L/KoP9tYvD3hvVdjaiEQjOWl+5xVE4ngMozWJqKhQVd8C
uRqMyDFwkqBJss3rgArr/PWInr8SioGUiZOpJEUFEM3aCs+RfD9OskCVLRwX5agz2SPyVGk5X01U
SgGcLjA9ninbJyAtCEyhygK1y3LXuUlyZqqFWCPQM5FJtYu9ASJMZ69+ikSQdXqAYgihjWjZT06f
z8bj66cMsPkmx3Jms8q01+XDUi1zl7EQW5ehpHKkllIsd8qb1pVzLULv+mkl+7G34ZL+ZP3hBTDV
ZU/H5Sz0oJ/OsuG/wzkDTUXcLGglY+UeFs0rQ4n+zsGfSt5Qr2A/tszWvM+6tvyxLC53ZO4Z6z1l
YQPZAFsJqkMzkJJ65luVHqK0LXSk/aKfMDPZy1Et3nSLSUhfjzgSngR3mojMZoDRVaZ1ZW1CBw9W
HwwR2gvy7lzb6MaNshWFXlUniEek8i+9FTaThxCZoMow7xBsnqD7zQRolpScT70zqBh1k63vRu7i
Q87wYb+gfmMYmbg3Q9ar7zkRZERNsOg8lmGp7wKP3QLyP25sWyJxIB+sMc490zH4dlXRiM2CKket
wKlSMHCsV8F6lmAg16HrHydce987qBFiZ9UN6nA85bhKbDiXJ0mywoeRIOcEEafxo/R93iADoREc
sJquJlQyO4fYnGRn9GKi8iYgAQ2+054AnRGHpgxSZCmsGDcrh+mWaGKvRvRV5uCfitR+ADBIt2uS
84vjV+I0ln12zGnxPGNrWh6DBOz23uQVeN5JL3sRDCruKQnnk7ZCkkx+fRw1mfGAJl0+Yk9X27or
+oahaZDB6mKoZGujPLd0PfF7ut6jb5h3dWIuL6Br6cywQ1NngcsYnTGVPzPNXWLxNDPsOesnSLER
vk3rZGAAfoHbm2kteL81eaVHx57BZ2Kb2F1SeFUvaF9TZ7cEktgKDcvztGYKfIly4daqDLp6NLWF
jJDwKAvSG2/zm8UR6clohoce2cN+GcW4VV3RXkxD3SBhGeLrepS8TWZ/U+NZHW6tuv4skonhXR+q
JUETkonztiAY/SGGLfw4paW8I8LmOnXH7hbRDXakRFm3+GX8u9onp7UcdB9cdYjPjhnpJjszSc3P
WCU0TJHgfkls79OAO+PQaLchGmUik5fnoy3b4yj1+uBPR5i9GPtb+1opRmhe1aburjRTk6TVpSRS
uuvNG5U2zU7bxLKXubQ2KmfAtUlHmkq7cjJravU4nb7EBF6UkeWQSLo3QWsSK9TBpIsMi0TVUdD7
RjTR35PUGjxlxEYqlkL6HkPuDBsMR+0J8FTu6knkXzTL+xkD/uGyt80vk2RC2yIyZAI46ZYhfB1D
CvEYT+G4su/m0HDOZhiFN4Xl9T9GOhdfZgiB3Vfdk01zQ/sqTs56Ol8nCVC+qO3kZ4jA8Q1AsJjM
PgRybAX1+dgzMyX9EsuAJ08HJYwrKXtvp2yRzDByq5eyR/fYLRlZhu5s3+RZPz4RKBVvE/T312C7
3Cs9TAlJqTXtC9pxfntJ6E9xYcadXW9TXIU3DoEkW98ZJkwQJR4Mx9OnrarqL9nQO5HbtEiyWvO0
MOVjz5K4I2kQe3NuPlk0AvMpV+fG7DqfpykRpEoiCyCsTFmEp6XpmUqc5EqQ4nox+JLEqKnfFL4N
Tc3EbcqooMUyMaXkfo/4eiM7BRe6RVs09Cx+BlQ9bhUzS8+rKWhW7NenOMclkuAeA3PcOAgc+mLr
aRRxVjtyH9gkeaWaeOBEhICdkQ/Sa/KArO5DR5hIBexW3ASJ411DtuvvGoyZLPQ1GiKVp31ULJo+
SD+ScIZpC6TWg2d21lktjWxroUyMknp29yGwljsYXWjYcrYfe5vm+laDMFW71tQGyhKPwJpZpel1
pcm2KjAf35tSjmezEuYnJEW8oLyEPC3XH5GIqUxt+yq8Eb05HvBk4w3vbac9E9XS3aYuGWDoZdS0
G5oaXXA6NdbpQEguGlDP3MrYOyFbKDhvimR+MBXjeHSgZOwO6ecc91bkol9mQ6HH5GFs0ZD7Sves
uEqcIq7TR20mqI/CNNiD1uU69IzkyWiqkO5EgT94cj8XqcuTUPVF1GqXHPNsYHUsU5DZnV+Vh3Zy
gsc25IuPrZZ3cd74DAC6ON+xHKILzVW27cg93wSAdk0trds0pvu9kTkt7AVj4VnjkB6FbHoezrR0
0CrathZ7/o6+8Csa7ZHP++Y57wbvB0KOaYeE112OKd67760PlDIEuLQr161VWym5KceZXi1tcrKn
q9zbZUZHqx5NfYRRcbiYWgt1wVz2Ef4qYumgzp8VOfKrRQWteGB9Ky76uiSpJ6pCXV3neAcjVbjN
7VDpxLstQ2T7kWugshh7pLYBBMxvhWWbyR7dZc0DZLIXLDyruILedofKTZ/XhVIIfAtSs3MVxDeK
bcAF/bmWN+8sks/0C+tmu4icPZYTPiWD1dwuuAXbTZWk6POG+dxVrnvZoceQzEU6Yzs07nAqmrI/
01Y3H3Dx6GvL7dV9OlWnHV6oNlj0tgvt7qpSjfoOQss8kMghT63RjQFTB49s1Ka9rzD7+NK5ySGd
lBt3BGm7z3WVlKcqXSZrn4XLMm8mByELbaC6yTcVOqvbQZjtN11UkOJ45SGoQtgCYZGsNNLgSE0r
BmlU3+c1TM0IiVUz0kWSsNZm7vAt6Nv7dphr4tfkzzA2IkIFFHLtHUj48m8bUtuIONXpWf2a5SZq
8ytG3fYCtXmxyQLuhZNiymKucz4X+Avz1L9lsu+an7KKXzFFkkUdXzdYp/cueBVcrIxPpk9L6jSM
0mSQ+NeJ3XbXrH4nfcUKOh1/a4D9f1QFa+H7W0fp55Cfxm4QuAQB+O87SgWbpRjlRnN057V0crN8
xV9Y8O1OPj7QO2nFzwOtltiAMljgunhXgUs28+hUm+Mrrpc6FZNuX3fs1bgMzleVrUzXpNHsR0nW
ap/+6dED8jRIzyTwIBQM8t4evQVw46OVa44yb+17b5qCLR7ema1EKY+NNjiq1/vsB3+STj8+uLWy
Fd6eZOQUtknb0FpJE++/O/I2I2bc1xzRLVIf4FGH4OwXHUkwuaKCciyPLz+ukOw+QQ64MWU9UAPU
iV8eE0db9x9/oPXbvv08gljF0EJ1jLcJtcDbs8HYa5jtZGVfSgn2UtB+cLPUvl/g2T+HRIP/Sbry
TrvCxXcEth7gE77psD98pwdAnQ0NxVSojkhfPO9T6jXGrhAoDMgjyMSH7ykSdecyGYNBnEjpiXiO
0Lml1UXu5lh+Dd7mO6+rQYu/Glsrw1vaU4ky4nFMeyAyRcOd5MBuYa9eeXgYE3AfdHGcfrmzPQNn
Inlv8piBO3vqWwDKDS3M/k7hNlf7pbcs9Jo1oibny0IRWURxoKnmExw4FHgJBSjebuueeGXw++TC
P/OeqH8Ey1jfiTChjOs7xc8j32mfzMrR+jyhIDbWBdOkqraM+AaW86D2IfhQdQhWDPPMD8orp2kt
7wClHS8vo+nm6bUBUnmgN18v+n/bm39ob9Je/NAF+H/Lr9++Vm/UNj//yq/eZuD8RRwNz4mHQpcH
5jekZBD8hccQ3gdsFTiPr8ikf/U2V4ykT+QQ7x2AK36Ife+X2EaYf9k8CcwYPI+7nufwn/Q2//YC
dz0SUvkU9NsQ7rzPBGZYSLknHOMYGgZZd4z6l+MQOuoPr4y/PcEchrRenzeoMOnIvntlLJaSMwZm
g/LfAdndVPNWDGZwVU0jDMZ/+Hpy196bAA2F5tEjRuft64lrkatwFPFxtprwyvTkeMFURpw6i0nz
1KvYXn58QDor79+ILi9mEHqo6wKLl9T6Bv+N26Jhv3aWL1HUzdQ8mxiU8nkjByq7xqBPiVtpCh8h
agl7bw7JSPcAmPB88JrJrg+dmwyROzLq3AwawHa7IoJDVhXIS6E0v9VI8c+7UIWHLk7Cw8QOA7bu
bEd1rOvTWVrVDd1WnH+G7B+s3qtPw1G2ewOv8GU89xm5lLlbb0VSpweoHPCdEzXvul5VN7bhLC+8
U5bHtHDko98mF+YwZ5hiSkAMbWkeF1LTLxyHRSlKczHc2Gqofixiaa4WcD4PNiEjG3SF5d7t0hoL
EUnx7OCno9nEzbZbOhsDj9kgeZ2nnZXqdgPXRNEa6ptLieSBlIlCfDXLBE8FapXtgj/t2AGjY7+l
w9gDMGo33xWrPR6USiNkWdIBQewE2VIGzt4EfvOEdyuciq1OJUswIx42fOopZB2Z1Xlat/neJ2m5
jqaY+zwiawYtsCmq+tsgfcj9QxJ8ysPCvg0TM0yjyVThcx4o5tNWiLeOfeDcYKzKM+DNY2CyugYi
/VakNI6QwTjlFbUuMS2ek2DlHqbhbB7q6ZH5MTqbOJNb2y6593KgrBvykt2rTFAb6MyMYg2/IO1C
Kl3LlE+V34z7hlIdaTQMs41uvOoZ+2d6SOv0+8zOAxdY4J4lYTC0G2txU2AEnJyU2IOLjsi/T7CF
jBu6TMu5ucSkGyNQKk48Ym+Ntfsdm3T1jDuHqd4JKhXnOE61QmiSFedmngzPtP16dvg0g3ZLsng1
nagsPOUUKPoM3veuL6PJIncVNxioCL98NoWe8BU5Z7HRIzYokocQHjw3aVsejDZg6GdUOlJ6ws1m
E18dxpm38dv+jC4TlZAGNgt+MMi/uoGJQt7wvwhcUdsUJPNO+153G0+lfe6l6trV2DQ2zDYdbm2e
Hu3aI6xVBwuwNb5ojHR7Vxr9RWHXy7deN3PElXW/tboorkCK2Nti6fvbzu0NWt/BbdeF2W5wl8/G
IMWlvaT2jr6EujQAPe2m0Jvu6jocIkBI437GKFdP1SdfxI19zIpgGikfkzGdv9deVuDMB8sEnYce
MfP/OWjBRS4qp+JKqsLdQU+Yi2guOwjWZAPM+qQMzWQGS5N0BJzHhpEsj4Wa6P1ttD2oCeyi0SAR
m0eV3zu/skCtXAfjdO/PfYqmTPkJfYPVrkWLA6uLC0UH0j2Y2MM0Lp7/WWMkCeBnF7Z7UiFnQXJC
6G2wVxSpnQNfsvcAbU9LcjsWLj8p2mxMLr1ODim+U1K2rxPPSAKxab1OpWdhTHgOGTLx5D7ZbTrA
rDbr1cs50cyyH/NhMtx9t/ZAn32dcqFSdmjGKVqbZJB3RQW7AP1XqIonw22Lu3AkDUSaa5XfVL57
HM2+fPRJaJZ4n20cTNPgiVNXjw2I/WVcLUFGGh5c0Denk43fy9LaPdoVsX4bXczZDBSeyQvzKbqr
ivQV1DuxF9/N2GypB2swduQTtHunWNNZIH+mmwFq3/Y1frBVZn2aYXXY9dWw1FHFlJmHPaB93TkO
G3p/9K29RZN8y3CbQRR2c3RoZqA3BvBlrkAcftGSX3UwmO4WZQLWdGtjaLfjOFU3Wjjti+MxL+KD
wOAsbIcEEUx0y3bwkNTs5Dw1J+BbwitM4d7XkmY7RrNytOBf+RWJVMXKNQwYjEUklvFnLnveH1Ar
ykdh9vq6LHJv2QZL1dzRDKM6UGwjLF4ehTfw3Jbb/+4C/zdYTfisABL+szSEXaAq3m0C17/xL2GI
Hf5FogFYxcAnEfGV6/BzwG359l8OaX8gJF3c50SV/c9827f+In+OH6esdslQXKvOX3tAlz9yiV4N
BIMNCDbC+Sd7wDWC9reCbv04kPGYpAOt4XsG73G7gT/OVTWYzgu+lzb/wVoSC3M7TYxeUNz2uT0/
EkyY9Xs1i7IiSWN23e86Ltv63GrQUtj71nCYuBVdYLBW1mFsxilyENKgH6SJnZ0XMqKrBZ9SrJPR
iGjSd84YoftCZrUlEwXwEaTF1sfTY7bG9JDi3JW0vQfCQLbOHGY2TZDBdIODUEnWsTqylIYyKpno
YTuvx1y1xCYp1HZ/SrG03qIPHRTvoVh5o/wPHC9S+rebOyS5oN/U4r60ahpDZCWo3XDTsIaxNQoT
BkFGpK2srn50HuLje2cNZZW0edlfSN49U6Iffru3rn+W2v/nt/Rd+28fyWeSinQfRQQqh/A1RfK3
/eY616oaJZNnOi1ucdHiYC1OEeKCxjms2nA01Wh5iO4CwNMGANpzTVodmIy2Kb42Ws0d+6QBt9Ap
i7ky090SJ+DXl1JzKXZ9v6TsCKUXG3rnEX3lXS5LYfFjyIDY6W7MRA1++Idd9NtKxMExs96DKI4Y
4YC6D98V+XFaAPsqyvrFxKbq3bkMa5rbqoyb5frjs8cT9fvdzoEE6icnZNMfcPLek09m3rHh4un4
WXC1kQ+1xPOg2rVNnnCAS7lzhY3PFSmearc0+qi1En+8ZaWt8x8ff5K3ZcP6lWmkoJHC5bBCH1cZ
ze9lg8V8A0he7j2PKpCQWNo57/uNhFzhi1P2YwuK8n92REhydLAsc62QTG7p9cb67cap6YFMUJPS
p6JBG3WKJ7SvHmx47fLcVv0f3EDvryjlHnWRFTjco0ho3rdtPKjPWdoq9WVkLLo8kucuAzJ28naF
gn38vey3OJv1Xw+o9eCY+wiCBGSbt18sgYRUlvVoP9T427FaDYykkn2Si2x2zzLQZ5gtuJUq/s83
5p5GqXYJ9UE74KK3bTXQCTJibbE+Ge1EU7bZWovjjPdmlhju59QnNul7CuCUG8LRBlI/CJCkMzF6
DDzUrMzaY3569f/x5YwC4RIBdobgn7NG0jb7TWCxR+xODAgqM6aoxkycn7rN/xiv/O58cw5oDgqT
sAiHoTcUobfnwIU4FVYewIahytPVVtEkxshuZsJS/vjx+V5lV78/ROs1xTvk8SoDxByI9x3Rae05
t5hW7gMHyyrHGlAiXK54b74qXXO/Edufd3XJ8sdZqNENdy0JMq//JcdBI6IwJpOTCxMtICktt8q2
mbc2xKtyOjGKfDCWcxW3qUfeY1sV04EwQcUDS887dj9nBL314570r2KZUMzCFJwwJ+S2l2+XwFz4
s7Gp1guOaYKjMPrlfed303rg0Zp81jbDxa2CgsGSCX/ZH7v1uvcS51q6U1OOv2czvN672OQ93ghx
3Hf8g7NVTcTxfXxKX0Vk/26r+nTP2SKYq44NrefqJHx7+Tq+AfVlG38vR+F/zmXt2tBXbPfoFUHr
RBp59p5ubng2BxnJDK0T18cKXcvjSJzkCHhwqA+hSnALsNlXGy/tu4dYaKGuibuB3JIGIxVMmN9U
tW9+H1tHtRtPkqwW+X7iXTEvac5SM1MX5pwgdSI7cSy2BlPnT/gr2hFRAZ1okuno1qJod4tHlKQ9
jA0GGFME4Oza8XrESw5Jbhf+LMdt387dzgr5hIANHPKTbPavedu7wbYppiqHgVh+MeCYMkVO6HYM
S2cCw2ylf283wfS1TRvL3cTSS08cK1HqYOc10jRfDI+ZAGpDqJkBCYBOMJFIQ0gQodHKO89R6qWE
63DM9ZDvaxiELWUfhrKIfX7G5NKpRtTgzY5Zy0jEFHCcT0PggYwNcGBtkXc090tOUQfZy0iJDjWc
iKiEG5gm5jcbYfkXC4nYQzq4qFu0B8HKh0jnZHP2h3Tgt8sDNwR7Pl5msNNtB8D4+4WqsZLCpzlU
P3O9yN6zY4whXtmgy/Ok6f1hT/H2gf55MJ8tqOD1QadOvF9+F4cmiQzrZ6Q1FauvNu+pmmz4gVVx
MaLDBWieNNUNgWFUJB/f+m9fXK/H5muyCkLe5SX+foc1uGDC6D9Vz129ogMFTi+9r4TFlvLjA73+
S2+eMeTXtu0jtg4teqjrFv339U+DNLNHP02franhmRE2y8UG08Y6205L/7a28SxkKjZoEZVu2G7F
2GK7wVXgbTXMWiSRWe9dSVyup7XR+Q+st2ACxqHsSaZQdgT3siJosbecGyKoa3AQIjivW8O/wbNh
fwrzAaiD1VgmY/YC0UAF931j+JV37U3FBJdwCt0jXIX5OW9waTEClHsrcc2vpu6JDOP6/QE6/W57
y8lftwHowzgvCNXs91sCy2BW7tCueoYyxclPM5EeRJOXR73or7UVlk/gGfV2sBPM3R35WkeqZ/qJ
H18Zdz3zb66Mv5ZBWDsZuqzL+LtdtlXElXZB6D4n4FmKqKxRlmqs1uFWZeXSIzlhju9XPXGNqHiq
26ppqiPohfBibL0R7hx+o6vFSpwjuLl640oK8yrrSXKWhXGRzbV/Pov5ADlU3INqKK8ag4u28Qga
nKOl18UFdHKMK34brkNWMTKhd7Ifs5dnl8InYA1liHvMkqa9qtyeZKAmVsO3uUwH5Ox2cWPUtAU3
nramvbB7uhZCZsn9VIZpHsE55gukGk3X2CdJuQrp8hQ9ja7vHBRz51k6O5+saY2sS4oV1fDxyV3P
3ftzSzaB7bNIUYG+934PZhxy3f34ucsc99IgdPsRDOVMDwRPOLSOtRfz8RHfzSy5q9Bsr/Xs6mxg
c/t+MGyZdgnkos1fwFo5p4shaPPHOLXOwnbJ95PJs7QVpHc/t8IsH7NE9+dwBcwbYwzF/uPP4v39
1mKryevTDlCZecxg3j70csJ+EyR1/ZJoxy8jj2HqlwbZ77jtIKlvOtMGFQWTCClv71rpvM1TD7Ab
heYWP08YkuRrMGeUDb21DL9TGRE/rXe1odKLwsvUsRNon70hTU4SwIkOVsLQnjYKiexrpEs1bCSj
uYguDsQZg9Oyz4veuGCisGa+TD4qQ5XO17OeWM5y8hnh6rB6Rw1YqfOq6RB0GqKiRVh2ZY2sZsrn
3Qjl7tGFcrJjL6LuelvXJ2lVClKYfBgY3Ik5Bk8vM9W1CDOIXX7eNHrTQEbb915ZJvgy/RadCLy7
TZOhLY44f411IgIfG5pJKN+nXjbZZ7rZ/Q8ns7ElKWLfiz/cKW/f/dRAroB1ab26W3gvv38jG1bC
DqD0xfdy6CTbv25u103rGCzxPP3hWG+fg7Xe4kZ0rJCBFz51dltvbwQ7q8sCaYb9jBtUZc4LTG7W
ghMcmewMEa6tRR9sijUz6ONb8O9fkqoWwz3OecbYbJjfHljIUknyHdV3YJrDWgP5KxY2to2M3fLH
h3o3i1q/JJN51AIe83LaSe+3kVxlq5hGu3pmz+VWPju+uH4o7Z6uSdQTFp60VzpcYrM6bzJZe+bO
HdNiecyV37K1BRUZaxRMqKrCmzz3fKLi0rG2y/NiTGQwH4fJcSp5/PhD/+3CsPS7VC0BV8eESrD+
+W9lKXvEwNZgEr/XM8YegZCFMPcfI/EnJNA3lUcxEYO+7P+0H7D+fmFCrgrTK95TDjaGdweODcvU
rXSNb4trWDZQa5+0NhWx300JrLBECbL/SOFe+F/ntETQve2khPcfVYa2x/usWibKPfJIl/5bUlt4
qgQ5n/OZS3AsJc0fzlLwdkfImNbCCGaujwnrZMCc+e15wkzVymqQzbc0oDCgcAlQPF+ztV0L62Vm
sjBSAgBPuDREnPE0qdpxaE/VuHIpaUJQXfN3bsAq/4FqZy19fpVPo0W0xY+fLSEnbul3uHpIvM8q
CUP8Vngc17puLHvF1alRZ1I81cIauSIpWVI0jXgZEtm1tcH4BzfkJPT6aZl57nEs6CXmXNh5vlbD
5pJ5XY61vnN5vrt0QtHVek5evXgTwVnWRmC2XK55/EP3c53V3JpywUU6baw2DxFeWfVgfS4w6ef1
bkAVuTwuvfApvWXnjbcq53emTVqjfibKkEhhrpmd6olDV4KMjznKRWustVzAv0EWmJnnabKf09qr
3c2vos8jwYsfyTxfVd7BHXXa3/STX9Femzud0wNQCPF49+ZJyKGNbAr5cSai69FIxKIUJoU26546
XHDjkc5Al12UDjm7h8lSuj5LO2MeTgc9aO4l+Hfrmy8bM2s+Q9m81tNm3K9dvC6IbZ426EY9m8vG
qduiOP76AtBW1pKX4iCk5DVx9nFCXZNK+EzpZH2JlSwERrXDj4u0fUd0KYEOEVCIXP7r34A9QNC8
yGIEPBG3XDNpcKGLuxa+tE44tG5TXo6zaPhOyc+z6hTgPAUenXbgB6apT4tThFADTRUrDdcjCtCT
+Y+5JVGbfOvZ7/h6vOjX26WBqJH/EKR1cNP8P/bObLduZEvTr9LoeyaCMwl0NdB71tZgyZZt2TeE
pExxHoJDkMGn7y9kG2Urq5x17g9wcAClpb05RKxYwz8UCWoA75sRMm54KIxisjFbLhz2lGrimFWT
OsgyIeiwoLv0wtGEOtwB5f4ycs8WGnX6WaJTzjNsF1UY9BuB0U4+RJUITBsgnOjrXADEVNT86YoR
smkzLC7/puFHmZso4i5YrqWLNUS6b63evPfQUUSBfb/iTY8XhINEWoTqlfT4ibmYdNUZMSuPT2k1
4lwjWh1uxE9WOsJnN6DdkUvS3D3/cZ4Kcy2gT+khbCG7sQV1hA0aBeYaBMxh6a8YQkmdR6aTDMux
zG8GWKT0OCaPH7axq0Muq/Bi84ylqnmC0zJjwbFZoczwSRVNae9UjIvH80lFYJaoafar+y5q+H+J
/gIbOES/K7ihmb3SRvHmnH2OXvxqgocR9X8spNubLe0BP2h3vfBs3oQ/0MnG4LuzXXWPsiyNwz28
sW7QJ7WIoaivFXINfKDsIanhZpwOpiG2uDk2OzvcsVbbP9Fgg/6yK8R9nKF+rHa0DUMTmbIqwyMl
EIxwS6BQmFCVOvXEjrWNzn6qRLfe+lovLH+aRJSP+7hmkNqQKMxtcBP4YDl7kNYjztikdjT83rU2
7uxQrzASNdEKeVuBVgt7Gdu6fBCGTIopHuwseirDYM2XJbM2rjGx0Jl5BtaP6/VjM9gNN9MkhU7b
DzGDQa+5aYc2hpsXYIJBrUYgJtzsRwBeGq/lbmrjGPBjEC1qkzjBmKHGV0x4bG2w+PPK4HnF6wbD
d4Kt5p5j7FBXMu8+W7IsvSrbbLJD/PpAerB48sKElHCcNeliCSWen8S0DKyhBHONMr1s13bl36Sj
ph6bCd8lVA6yMa20uuR9NJtFWPYkbwZE/Am5RSMn3hINEdPeanU981mxFCYKIoMRs3JF3iX0zcTY
zfwmQxXT7Rr7xMSlUigDwAAMzELKgJQTnjpvCXh+Y2YRHRRPkb1gO+PAglKyd+mR8fYlHdgI2wbv
FFXDyoVnC7TCAEVVZOTAqTAO56zXnWkZ1gkW1QOM3socsuM4SZbjEqASi+sNpkHEBx2hzPpuEbrH
jZsQRaO1kyM6Ivuo7dt+s9aOSbEEo1P9XEcoel5/n4wQ9c3DmUmo2/hYgj+R8T7NihlQ7lSgG0YH
CPm7nUzmJtl7YkoQn5MLN4/4XEW0V5quoRFNni2eUltnIRu7QByPxRMBMeQJfl/WdT6bf9Ne67Jw
13wxrXzKCBPuBwsaFx7hrEp374a9wfGSiaaC/WkhnEODOUr80EYB0IbI4OSE3d0Ql0icomxh6+Ar
prtQVES9IC1KOwd97r5HTu4cNJ3Ck71VU/eMAaS0Lvu0tjwjsxe6CBx1ufwKEAT9yDJs2upPSoi1
p5JGiPBxRip9frciK87Y3apGxtSuP3co2KKs6XdbidA9DuDwNSN100vsMQ1tBQ3QK7fiWIXKOSJu
IHlHPUF+wVKh4BRWPUYM6VIqk9Kv/UwLwQs1CjKbrqcN/wXI6+R9CJAf9FKaHV4JwD6uHJ0gKxdz
/wnrNEnHizHjJKugZlbzuu5iOgICERlnpWkPBiBBIXykgBfC7g4KxVAAViRo6z3W8lnLwQc49zwA
CEDXB26nvdU0Ilq0UtMR7SDsdJD/BN3s9DDDq/QUOu64k62Y18skboQ42rOdIV7ZLTYCKPg+rfk2
owNq3XYg2byP0yDxEz6KLtSd3MetWJZ749k1XqOE01jvPcsb1k/oKnkgz/sg6D+uoUJuFixUEOLd
FdH4WJeNUEhD7DDhrDC7ykf8Y1b0ret2E8M9Q5857NdBRk92XUQNAuQdwhCwaEYtQXD5LuZgU9i1
4cZxB38UxzFpJI3WqRR+FRyT2kI5Jrax1yiPCA6T1mZ/oYDtjkiEtFE5Ocw7/FGvwT5w8eNIb3qH
myluv2ffQkO5sN/PKW2XYTMjZMGx1NVu3fkfZ/qvnbfrkrlPFPkUNqDlSavQJxtLxMyG6Rdtck3k
UEGgHHt3UeZYiQkkbG4ZmfQR4UPFdsi8wES42hcmw8wtlGqTQ4EwCk0Tbqybo8tVphYpqZ9JxdED
CqrglKHPkzrrUYchn3mY/NZkf/idmcohpBDmarWnalByE6LXwQM8voZLsWnMoZmfWiPTz26SPmHS
HwYy+wjx4845eo5PFky7wmTRsZ47YlkR5ebQSCzEijnD0aIRe2U3weqeYs+pSIlQfHeJKUjBgsTe
kJdAuISiUvcmINb0psPDDCqT1GTWaPh3ByQUzcmJLJkZTvS0wfjuKQTJvn5Qni/5tzaJkZCkMGth
zW4GiGVc/xAXJk6WtDX4FaewY66oSbrB7h9p5pp8NYZNu35yxqkPnmY6TO0hcIqwuYJSqzgWx64z
uVTThSZlgW1intHYNsFov0zWoFEkg/VKf3PDecgkEwAX7PR1E9MN4/ETw7VJkV4H0AG2spxS308w
z255jmUrzAw1iHFgRGXfTSweZIfWTtyiIlRTdFQTzAna8JwrXME0WCjAnn48iVWyhTYM71Yy0rDJ
+MQW+FLtITTVaAR6SYjMUswFecB7v14YDFU9jfPzt9fIgWnbnyj/pvE+ksnCHbtFY/OOpgFkD2g2
zGzn7HadC5pkX1QZ+kV5yrogrWeGDn6g7teQoRtCjmtnxuF9Dz86u+gEAv82ByXYSeS+HW0K+SiQ
LBaGiIG9bPNZ9OG4w4OSLCV1EpPNq7bDWe0kunRQ0e06ZijCXAVJKLgevcJ2Ao/n9mZapkqSTDS8
PLNFJCbvjOCR3OIXEuWZRM2uKI1zCXAQf6VkygFaSiesyLPTb6drplTKoTm1ANaCret2ZIH4lJl8
cwzMekwgTpNZC55A8QIHs+EH/rv5bbKSfr2dqyjkuLQzrsvZZlloUkNgRalJ5t3OXO237VGO4PHu
q2luean9QOCrr5g7qfSrwtodMCum0WXIrkZ1lmWaa3KC4uD1nlm7VePEzXUNHVONu7QaGJOe+YDa
JamdW827nVBg47uatecWhOGD06zA6LHYxdBg1fs0jPP+UfXQOOvNUE4dkn3Ulp575c32WDabxHdY
Z7VwTBFYdPDR7oW9mBcyeLQj6bxPvOdR+6u+dKFl6UsA2XpRx8XB/OtRZTb+FdvkW+YzpEKZ6WAb
9dwt/WcYafvvFXG0NjGJwZKmguqrSaUZUKbULGgaWZa1PLtqkuutQNwcN8ysyyhHVNang3WKgs6d
7oO1cuGhW7PN8wf1Zopu+vcmC+sX2xT5zGhMIp92LesjGRKj6TbWQExQmI0sfN7yXvmg3RjNtyAL
SUKIAastqXkvZNg18BSoH1hOgc/XAzZIVhMqO2JycEL6eAFi2IQLS/8EnB2Uoy4j8qhvW69RlUmt
KqtGqwCHP6T9JIpzCqo+1MvZ9I9wsnq1/MJ4dm7eCagMDd5VKQ1goGsxyo0BKNLQbHGq5bS7DgCQ
krzquUiPSdYs0x3Cj+twEU2LXZ0i4L3YqU6h5ZEfuMuoCJ1I2bZ8TOwh9hYfC9mYTNRpHKL4dv5W
NS4lrmTZhSwUFm7XJPxTsB3oXDnVPk6VqQK/FRZVspqLbtcF3eotu0wzARkjpJjOnooKFjpFEhjj
7Zw1Da80tydz6bjEcRKijjcl47i3lsYrr8OO5gi/uGpWFKRhE7BGXqPF3KwccLJAmyAfVrBKmduU
j267mApdf4scMeZnPMPaLs2q/H3X6L/oGUEiiPHEhGTN+OtNzyhaGKXiFTY/Lclo6kyVWdhz7iwP
mnC8GZhH8Up//5Vvu2q0qSLKU2hhnu1EJE6/tql01zSRGIET+8Fs8GTflkYVWaaz+69+lWFPMPYy
EDbDLfj1q9CA61ZFd+Ip9yC9k3kGHqOby4VgTez6/Xe9dgP/c45i2m9QGGzXZ5Digkx+26YchM08
AMD60+LWE4XMlNXo2mz90cvYhhljRM7CNWgJGlPj+YDRJ1XJqNp2o0PdTRfCYK1iSl4Te75F5u9o
rAYEgkmRQpTA8ivQzzM//f7y//ZWGOqaCRsjZcpxR5h//6nJuvRJPTJs8B9HbCa4Dg4oUxZyuFJC
/f6r/rbmXBrDMeA0sGmOF73td5NG5U5DAvUI5dad9CnRSGZ/stfQbJEgSTFm+YebewvqgnVhh4GD
XznTBOdvBJMeqm+U0r9/RKbFxKhxYbPdTjmR/X3qwErXuyQm3yeZ0PwMQCAU/TuiXe3/A47j7WMG
xwnbmCat8NhuCBb++phnBAsU0unuV3oSlI46A+/zHDFcJwL+a0/ZASbC3QKm4dtojr1pXpckhpFr
I9yJ0kEInberTGmeF1RqJ6yETNb4+y98A7IKHTTKvhEwfTCHtI9+vTUI2CvBRPdYcoJcA7wM95Iw
R1DUvNekBz4D+jtPdRZvw9IHMvVPc5S/PVxgR04MWAA4BCYGrvPrFVAlZpXdhc1XzAd02uxB163l
nq5HFhfHb2mLQhCeMy/wPBO/vzfFLX80La8ahArnwvzt4dTQYnhGtP41u7j1YpdqYa2ihiNhKOc2
GnaROwIG3+TYaxCtw9k3h6XSUwuZPksEGx8MARgphFdDzAGebTDxSM+ja9MU+4hk3hkhACqJ0XFb
Wia3GgD2Eyys3gmpYoybJO8MZDe5TThA2eUs7vqOywq/NegHUnuiZlk6JmkqovE143NskywnRV0Q
ScQA4YX2WFr0dCYdtaCpeZnhT1H+A1bg7bYm7kHUCHyEoQEM/G1pT1QWmSVW/aXNpEvOmnajKYHi
dTQZwPeW9e+XnNktP4dcE2rj1xlNBDo5fIszY1Cm4UZG85c4hWDn7qc8DsprwIBOad2IQXAFG4Sc
QWkdFjsxSaFV1eZqfn8Zf0dJMM/Gfg+EoQ2H/G+nqOvQdyiXufwLqT6BaO8cF0/0VDU1OoNl7iD8
cx2mBLqN9YT0Ml5qmNDh6/MPl/ErUvt1rA77GXCfC3IVUuGb4MJcYqiHNaz+SmCATbvXsTFu6Vl1
lVfBeBDI691L2L8HjcvZvouT5UuGlkrHNHv9Jxrwm+Pw28UYSi6zTYfJ5lvE7lpPs2qXsvgrDUXw
QQb28B5bNIRoSaMuQe9MN1Mlx3PnNfVFtbg2ggOoCm7Q7V5u8zCLACQ3s7rKrcl9ATkv/U0k8/LD
PzyyX1eQuUqIeS7UPAfMNIffm0emMBGsY+lNf5FjyvQj29VHV9vx9GYahLpxAlVSwQ1rEO2i3m9f
MmTEys2a4CFxRJ1o+OTHVXolwrn86KCkQT0CVuXQFygNizVFB9iTNFe+veh/s23vdffXf/zvxz/r
vMGBHCjl8/izUL2NjuRP73f3OD7+r2/anTePNX/4//qcDfUr0eL1T34QLQQymx6YAiPYBzfdkD+/
ES0s24aJCw0X9ReSUpTtOTt+sG1D2Lb8Fd3dV817h2v4wbaFaeHghsHHmRE1lg//9//8Asgd3vz8
C27f+TVN8QU5EdeFgiaZGJf3NoOsZTgMSxnMVwiJ0f0GRDzTcaHJ6getwMBYRQ6GXjKkH3Usnbqq
xeeRPNQG84rqx71TQ0jHsoZE2EELpOi7uYCihCFj9CGn+wuFbzsVDWXKtpsXrzl47gyvHDqbPhXW
PFOMgCp1anXRT4RJNWzWEVHn7rqpdIE3pcoBjqJi31z5SbGcgb0ocVHkgb7WXpLcM8DtzuR1KHy3
6jjj1ZhuxRLvYr/orgrTbarBXNobH1Ht+yzIIS3lGfQwrLiNbzWBKN7PDIFnyFSrkT2qguX9Wir/
UXQOyBJQmuo6Fxn1spMZDBUwYdTeYkThqyOmMNWRzmEV7fy4zS+COpXhTUzBzUxTC4iHltXymZ0e
j2NfqgkwMMdoVnvlqQO7eijWPqSApnmOIYxXJIvRolPvHEQUvzBmobsZ0LA+gq8cd9kwALdJO+3A
YEz1Sj5QM73ypXoYe09/StaWhkafSgymKLAWANC9z416iZicB1or2JL5dnUcnKDfe3aJn03aSbR7
7B6Fp9bukCIK5z3O8Sg35OXsXwRMTz7FBdahoMfi4UgaJ8dDNvQCYSSW+g6RNS3uZFDuHahm9dEd
Ue0KWn8hISlGPLOGorDgEdcqpBPlIWKMfAF43UDVJ9liCQjzZooOzjzPCKQW7bZOHcXg2xkFDzrF
y3JrypuXMMkFOvM2ZDWf3XgwJNa9aDz9WKMX6+BtX/vHqV26D3aDVSod6OqBIbox+ARVve0Ygp4q
hSLszunDd3Wte7CDHEY9M0O57cjfWDT2Yqs9SDh50CpdsH3u43fI7nSwR3tjBu6l+PslS7hp3bpk
PuD6aEJmE6TTwsLdPCkc9EzCekeuknxlN/Tgn+l+PoESsaFND6MqMZiTzn1S5dPF3NchQtEAP/GP
SoYPkaeeBbO4ndIkZtg/ajS0K51fMNV0661GRyjepkFkX9UBwGWkgaIvhrx9ZDYfoN3NWWrv0IZP
0WKCrLEbEnnvM7K6keDOn6qxTnaTTPWnCdj6KVkhQG4tC53+TWetjNU6a3in26W5kX5RQIFuiyLf
MHJGxghzQhpuSfsxSOXIHCZuLpo4Tz+PEHxxmxyT6n3pdc6WOVqHzk1NqzZiHYYJYl6+V4o72uLT
VjN8iA9t4zn0VX1a6Jcdcp0M+cbuXV8n8WEIRPUXNtb6Al55u10yiXDbouMNCl/PBdPNnasROceF
i6FyFcckx84jPZLPftX726ZMAYTGygn7cidB8aVIonYy66bgdsakGyW0TekHk+7/fSr+j4SpUREh
EfwN+7AvmUc/Dr+epOZvfohQxH8ghBBA+4k9KrhXW5fvx2Ls/QEkEqcBh3IVPllMyfXjWAz+YM5C
1wgBFrDBaN/+57HoolmNJEscGVEHo9n7r5yLkJ5+SfNNmcz/ID3QYvF9rvRNZWm8sFjWE/6QVYQb
lG8xY2xGdVyTbDljvIcTvdXStG7nWf/ptwOKgaVnzC1QXnmPG6ggmeusxyqsxHUJeopueeLeB2ys
lBMhaHbp4IU3WaWG97pQ+T1Dm+pY0sq/qKkrvrZdEsE2RBUXhMF+1IN8okwrTpALUbmCPoRP3DB1
67PoSgywsDOj3F1K5wOVZnmOm6q5TEK3Ok4uoq7L2Fy3vgNsA7v2nVXUGWJUw3zR5DUSrUjP4B9h
peG5llOH4Wi1vMNwBIWxKoqv9JAqLLyCxbmjjR/fALcQ17bOxTXgZUsxQXDlgfqkOjJdSR/sOI9v
bKu8tZdguk4c+34VmklewES0kV6MMQK94xegvtlmrjVyCjZYvm0P7es2Zgi6sY1cJbDwBaUyIuXR
r0T358wZfXB7F/hRjhIpYrTlR+kVgdwslVccEVQrTvEwjrvZm2t8f7UNk8OZPrdRnrwbp2y+G9t8
fWaqox+afnLvkIjUJ1cX/U3gFssdgLx8C40pP8jEny7FEsinGsOVHRCc8NCpSh1Du+Q20mXZYJRY
nVSDa7EsvelPK3Y3ee+DCIoxfm0QADZTmSlnal2KttkNfnJdl50x3LIu8JUod6lskUYAHXaUUvkv
aYxm5oDc2eUYYC4QiDi5wHquvqU7tXK6ocJ/pp2RWHsXEshlB1TjU6rz+Esogxp/AnyXEeKdP3RI
mN/HiZdfr5BDrucB0eENegL552T0sJOYRPXBa70O59mIcffMPPnkLxUKmWXlundoJeXXaeqtB2aW
KJIhmAD7IO9sDjKcBcidXXUV0Hy+jXvWClyAINkWq1c9T8vS3SRBUJ30MrmXAW2fY90F+ZcpCvMH
ie0nQ63Ov6tBGZwWjFlumDe4l87sI181tem70WuH+2J14+1SD9VFbU0XXZPMOHo2fnTjyM75gulr
cC1Tr7zIIWWdCqST602NzzGY+Mx/V3XzpZPhw6ZQ4D1ZYtyDfR4fabwJBBuXEou6LgkfpTv/5UvM
zwDEKZybaLW1wGgOoCujnQ4b55Prlc96dtHKtlLP+RJGzX2rXGAsQ6cxzG3EXZsFKJ2imWqdfYvu
KclgJG4yBXMG45RAPg5JX9yGaSlBFrhu/JwnUXbE3wQz8zWvPka5qKEbA3ITNGUui5SXOLsu6eOE
zQkT+fpD6A7jE+W26jdjad8z/LzgBAvO7SyPNLIZhwXG1jyvivKOrkj13k+qU6Dn8Rwka3PhlTXC
it1UbiaC5RcMsPOL0K/xmMzx+qHgXTZJsxTvuwGC9bqgx+mWgP/XTJdmGFU+gGxYPoZwRO46BzU/
Xijw7T4rnR0ldXdr9cthrgJ5KXtGEts4PvhjUR+TYRbXdOGro6zuFNr4D5bpxZSBa98VInVPDfiv
YVvN1LiNUP2zO2quBGTVLJbw2NrzslcVItAkX270MIbgjDZ4D1fINYe6Zdym03fr0JZHC79icirt
h9teITuJJsuMOC4G21OzAh5f22mKdlikfEwxDSpQIIY3U5EbE+bgbmzirheXZL/dNSrneBnZ1kOB
2XeEmyXZUF7F6DgEgLdi0Mjbyso/I7IhLiqaO3vySrlxirLFiSMDjdFm8Z1fR8HFMPhLvVkZ+dzl
o1ViyNRsGXsNj0ERLseCUu9WDKg5GoyCuFGRsXpKatzYnagK9gwX408xp8bN6mXZZ4Rk8qt6VV9p
ZAUnTsR1i/GkukHWE/9j0PZXQ4HXNJbW8VU9ef3tWCTyugDa8MlK8uqG2qDbG99UDBXadLfiFbT3
B+l+huTmnIKRu+yTqD1kS+H8tYYp6ox+3D16rjSHy7R6Dxmw648AUxC9RVQEEHERp5hdZiXwlxQ7
BDvJbm0brNhMMbxRqVw+iIlH32T+utN67PbD4kSXkUclBk+pzd7BY55ZaCTkqLRC2e4E6s86dacj
EoqjgWV1H6spOeagarHFSdbbUmEF3CkAdzjkiLVg7tp4Gz9dDgE6xTc26sRnHC/Lr7N0yt0Mphog
G8dtzha/HGiXnJjUAAoqZR9/KYMg39XNLB6wzUlORCZg9qOz007g365TYT13INnP3RhZB6CLwzv4
89WF71nJASGd4a7Sc/SRMUFysIUUH3C4FHxdmFhbra3g4FIw3PRaPjXI0z6LdSL8M8haAf0tHg5c
7myjM4mCCfZclz7KvhCEmj7H3Yh5ONAgAyIWOREtF3emeuDsL4r0fvJJRDbFJCu9bdx4vJOprE4t
yu75ZunCkrbQ0NPaC5NIvsR9V16oKkM3DkuYq9xBSBnd8VulmvI0+tMXv/dRMWoHxO6RhJ2eyjH4
Asz2USTTCxiiL1G7vG/sldpgnWEourK+6JtQ74Fy3Tsy7c5dFob3Cu+1TyUNxWcUqJbPzGu/RKoJ
LJZ6Dli+PHeMOsV0xnVHqvFIRS3X4JpUq0mRQnSA/+xz8Kje3pCVrxbHD3fTvEzRrRylBuAdJC9T
rt2Imm3mxaFq4oDJQ6trm7TiOGmyniO+Ie11DlS4/dIRQMm9DIBzSUpEO3VanyOr7HcGOr0jySsv
bYzVz1Ofh1987cuvEI/S4jaBX3eJxKnd30/ZmiXHakWSvcEMe16BFKWjX/yJhcdgffTBafiIReFD
sGmtvGwZXOfurrGEPjJzbw4qGD4jgoP65ZJWO0HtjyKP93mxnPkU5Dhu6XqcbvjN5RBXIekkQvR5
711NsYNslLBazJxTThkrRJCMXORjs2bVPqPve+YEsT5kVp5eoXBko4Rr6xtqWcSpeZvndaRay/L5
0Stjfe5x5QJBYE1Hu1kwvZpMuuWuzrTBHqa/zPML+oRM4HHxbZMR8CNUChQyQO0g6wY62LurV1Rw
C2mlFyt2CxdTkiTnvnby8yjSq8CuKlBpdocKfDDudBrKr5MbgBJafH3MpcoPoHljLP0ExXVeYbOU
eFg/tRl42BEM0BYIf3SaaK3A0XXqoy8S8eJNAFq3HTSYBUcKxkd/4rQSRJ8HMdGcfZ48/Kn9j4n0
DPuQ4USO3OlrafLv1uY/tDaR7KD1/N8XceAvm7+ex/x5+qUj+u3PvtdxSMKYBiUsEGYA9CV/MkoJ
3T+Yz4UCjhNTd4T2aD1+r+M8XIkYxjt0fX4Uaz/am574gxIuQH/Cp/aiMvzXxAQ9U6f957iGL2EQ
GUMnRQYPogo+ob/O53xHU2qCDjzhpmk8Q3L2FaAYRuTjgw7KpwhS7KZrV5xupyXeIl40bJZFl+fI
LrutGKP7SEXlGfxpeb1M1ZWKPPQvrYC0tEerX1gE34LmjJ482iHkH3Q4a7EjWrqwcGR86GKLwiuY
GEDGzl0HmH5HPxEQHqYYe1uGyya1+U42jdoWEJy3gvNlBzXrQVUxBwAmkLJrGVL7xVNgdWJXIQe6
KfFv2NLu7C861T/YaM0yNVRYeDM73NdJ+Akhg/eFaz8pRLT52+6havMXthAyZ22IpUjg3OF2PABT
4X6Cbhn3opcPAYQh4NWIzM0Wt9ekTPGWGmF3ZYXImEYXaQO+BGeUbqsQf07HGjGDonxh9oW5Y8Cj
BIU07ITkQyvFI/AQYeMWeAwiuqhzvLqTnt9SgmuA8E+ulzjDZgJ3diqQOsYUggAayIB/Lb0748CH
uHd0USBjv8njCSkzxyTSmkfQVe6490d7vUvb6i7GXH5fDXxlBW7h0vcklz+7eDFDAti5XVDuGI58
LIeYnBMWxo5o/KIb2Z5gGDhbP9GkECUqsqB90+eksmyeQ3wPm23cu00FSBpaDr1bYPLeGEWgShVl
axEP90mUlKghUg0xJF0P3SrW0xzx9NyBL5398CKyLaw6WSS51NQZnhx2EJrEztbuXa0i8JUivp+p
hLcYtyB/Lfw7lXNRaYFTA5UCvlhg23ZtWi/nMB4dGnZmFY38LmOCmxwzddDBg7MPFdzeIAkWHhML
i446vDD0q1nPL+DCyD6YLGyqOX+CkMi7X/mpSGD3KttqdvMYQTQDEritUeCmM0xR5ITdei3kEG+B
PT28vu86jSDDkBZvx5n7Ba4eGxAYr16SWExBVJ2Fnb6wyVnVxHL0DFidES4QUG34K/qI+mOV8SOo
vyfX5kLYeSRTeMPeTDwuGtH3euXNz5J9EoZzcsYsY73OKEngww0PGEwgbxjyhqOJxRSxG18fRtOx
KWaLX8VV8KlGy3KfiFCe4cz5mF+waPEiSc6aYvJ9PRTdlolasZkRAt26wE4PAPWdfQ9AdIfRBY9U
KK4hzTCSGKzlSIsFaLlMcpTVVmdfhmxKSkXMlrBFpCXBKkNRDUmHpryOHDaqKwgEkeIkJyep9pgZ
vaDMmN+pzL953V4uEP+TsHFRXzyGCBNt+0070Q3ANWHYeaDtzvg4NMeFHMYAetmGJazd13cLaddg
25or3JFMCGEJNJ2MMb7g2byu8jUs1wP4zvhI2VDuNTjaA939ageYvsMihuduVjhb/C5HaPjoalZo
rNjf3hqvp9fXPE6zoVuwjOgtjXtV2MkjfFXr5GfcKlAy0sTJtk5J7BK9/PyJxI1XYJcv1L/ofqAI
txfIP21rcN1bp7GTs+in5irMxXLjL/4xmosnKAZYtoVzc5WUTrknQWKkuQrrlPrs05bO/5UOs/gQ
BiyypnabK2uI+XaIJcTemkYkwcFeKYgX7wiWaSCjWvgwe1Zbb3CxiRiFuwPnOmykM/QXcwAQK2wU
RqR5LRAG9d29hZrYNkxtgtvMq3sFYWO7c5cBKgKt2ODwOhJMwKyqLcKiIB0UlwA/kF0EyP2Esxv/
F1but9jkxIuzf920Kg8UvQTrns/Obv2eJdH73p2jjdpqYmFQSX3OsTOzmOTS0QjPeX9thZeGFM3V
EnjLzRSWL5RZPBrNDnh91kHsl7uy5iPRNo8PXsMUBofUYWeBUdnAswWcXFnJrUM6vwP/VR2jRL7I
kP9cTwU0N8YXaU488awqP9h9/xwhfLNvYD9vWxl+qluv3ZdWdmvN001oFD5cFE7POl/QNLTwxrBR
mNRij1ITqogYcCLut1br19KvakyPyAiCfRzZg7WBxVI8OUW77AxdEoVS4dz7aVntwFB0xTVGBNMZ
aDKv0BVJmmySFOeQfSEYAGRtPt5mqQc+a0PySSsOLC/DNV2OYs9wAJsiyuXO3gYo85+7ZHq0xrb9
E63dZy/HwQc7iqV8iaRrIfQGFnUdUIVZ5tPY9O0hrku4LxB7pbvtip49X3h41qYcRTuAfck1yPXV
OlQuCNWb0gEcwODDG+oTnITReoASprYZ0rnVVZLFLrjVvsJkV+pS5je+gnK7T1FYtN43E+kDvJz7
n1Kx228ZzM+T219BBK95DdoJET5zQBlo45j+9U/YOdwQnNVrewxRc00VsmYvMEkjQlB0DwsMGiFm
iVsv/0fI4a/E6O/f69GpoZw2kLI3+VSsPQeGQDed7Pk12LEH3bz8s8EzmIq0fPn9Xf6K7/n+bcAl
mAXYqN69FZxZ59TyGNpOOEyxQEwmEJc0QlMab7t/FwH/Ex1JUJcRqLr/vgq4fux19dj8+fMo5/sf
/agBkAb3QpZhAGQBYO9PguIhjohgpTAogCROccD7/THKiakOyDYADeGzCA4UXMQPhEP4R0TaDnoS
QUGwS/zTG0jD7yAObxcsGRorFUgQ6wc1stcC4aeN0oip6Gv0BE5Ed39FHdeDarKk+mNtL2qbpr6/
/enx/Bc7823FwReGlDxAkLhy4twbeM+IwMpIwNGnZSn6O1rdahvQNz/+/lve4DZ4qtgvUHSBKMHz
4G8iOaMPVEj62XICjYY9nrPIu7Lt1TYPPeyfrLnaoHA+7zxZWO+HGavF3389QJM3hZUp+oBYwQqK
kHUAyv1rAJomRL+UDkdMoAMMDZY5Ww+IV4gT9KCItk7Wn5diwRtAJyEmal3iJox0upwMcABO+aFF
gyPdtEmkr4fZ6MQS96tNtM4lCAD4rxuoI0yn3MrCqW7p6Hdu/ASdz+0Yaf1CDlm+d4uo3K2Qf06Z
59MeAqR8rgNfPiQk2kd8kJHw6lKbWToES2Ch9FPIt+Riwztxupt+prnuLGq5Hd2JHDMYukd0vRHC
BkyiXzJ8WA6qqdQnbMb1EWKtySkAcPRJjmnS3DoNjRDRfgVO232xU8EfzkseXw3SHP5BkLyPFfpA
OzV0or3gURkDBuBgNmYMIHGOTgpBdSNCk7ivuXOvWwJ4uNAr9eXaXAH/7CuqGafadGHe37WVclNa
jjMiTGMY4aiXrdcrbmwnpDPmHfIK/RnanLwb6jE5rxNt50Da1cVrtmpD/PiEn676JIs1+MDbcfbr
AGancfxqO/1/9s5rOXIj3bqvcl4ACpiEu0UVytEUWWSzSd4g2CQbHgmfAJ7+X6CkM5LmP1LM/dwo
NNNqsgyQ+MzeazOje5+Rf2/whnANqWoGeBrJlwE4AvmCdaUfHEVRCIglwgxT+QyDtPRAwT//hGRI
AlLLX5n1tvvukAd9DVRVHJu4Nx6HYum+Zz3F3SQl0+rS4xPxM7Z3gSip1QOHUo8NFKFlXR1B9AaZ
GAJwzS+1k6zm5djZZKZs3wWPWVhESC7pi8wlPmgTz55KDM37hCDmm6f1VFTpUBwl1fft7NbE1w8Z
lm3iB9sKZQurpbqj4+kXaidXUNIzxs4vMeXqzvGS5pZAGfI88WN85szwWHv1+a4sVir2aMhXhrXj
UwTv/cZvRn6UlVAUlmvpOfGOfaWxBMvXm11r7PNXOy9QJISQJGipfYDMRPxwKY5Iej6xVcy4zUxx
jgXfBMWkF4BSgBytEbK9LeqBzzWP6ze3oGSaVJSh54W/X21lEkUXhxixd9vXl5tKJfM3UwGwJuEv
Z8nR5Dstr3pkKY7xmIpUbQlKX3YEdhTohvgeVw96+HWJFgiYPueWd798Nb7NwjchHDnvhcH1j2Kp
fqHoik4FpGxF2scpSdvyHHs/MRPBKku1EhBiF5XmMensV50I+GfIBMNTjLcgCUwtT/emLsHliuIV
DMD42Qvsw4SVcFECK0HlwRfluFq/Y7xXn9mMiLPfK/s84LJ8rNKufhmQob1i0uFqXduZ1ozkq0U4
81VmafbD5ME3h4TvsQKqlHyLPbdD4cViOsBsmG+/3pyXcBMQxaRdJnwgPUV/ttwQp959rzstv8yy
J+lxjPl8jJ7+ZCoyck+Unh56bLgG+IMp3dtT2r7XBRYMrtp8YKDLbOcZGJJ/nemgEEIHY9Zt75ix
Z373ct/InZeR1IH+PW0H8ZIaxDXGBxaJlTik/aJVIZWVGm7mRkX2SbEFERcrn8mUJkj0mwFEZSPB
N+FPXBkFDQP0HdehrQc92m6G0CzAduNQ3WLwZ5bKFUYdn9/1eqfdY2+8aPZwK8q63HmJa98vrc3Z
6U4WM+P4IbKj25KilzU5NxEe1eQIs/FbZwsjHIpoCAcx/0i9cgjFOHwQ5cjmuorfmW8lx2Rx4qAy
hvpalqMKCzgkGxxf/Qcq4CaM0+5q6ptoV6jWOE0LTk1jbt1N4dox6XJxeisWMd9ofj2CX16ik5N5
Jy2vG2jwTYXM3I+aIyiAgjXdJDaNHttBmeajDMqi+ImtpqdHsCt3P3Rixm1VXWCopSGCJ/8KYkp9
0zmZ2jkJN2yTlcZVOkcs4n2PYfbMF8kySz/qlTbSpwHkp5/zQqk0c1NbHrclrJx9orsMBbRSv1Ig
IQ5DbDxYqzrJoVm+NirfKkKTz/69q5XCZdP42kKwJN8h2Xj9eDDrFDOYoV4rwpGuh86E1mDqwzFW
vrGlLnByHmFOs52j7t2SatjHdswzjwe4txsTHnOJyRwug4l7sWzHCPAKdjs0cgkhizmZl743vXo2
Ew9l5dNVhXxuRVrnLz5pTO7GmZx578NsUUz3GN34todFexQWY2Kruac683ZiAHt1rDlf9e3MIZKg
YagZwCF2lDeC8dmVWqIFwIhuHs2pZqSRJNxVHco4iGSV5Aqce8M+Aeeavi0kNDICI2DD66qDKkAT
avJktM7yRlCHfTTncnmss1rG6Ph86H22jwM5mu/S3Fq2YzQ0J/aUgpChouRyz0cmUzHeCdwi924n
coqD2aCJa1UZ6LW3a7BdhppfLIGyLYxwvpU9u05Moq4+q52IZuQO/qjtmoTc1yEmhMTQeJanujqm
qTUxjBzHbazFpKt6sbEvUq54x5LJ0RunKPRZVtzgFxWEyCntAtfPuzWaZT7NqERZ5X/FgDYOiaCC
7UuCP/Xan3riQoVSRIcWmHC2JbarNaDSONZJibYwTZz2qliTR4fMJYTUtddAUlORTZp8xZQSZKh/
1qhwii3wEWfa6pk+HrGw+OyJtXZPc2+TzzSk6RbHeHYt+rh7L60MfYfRiZHEeqMCxvji4988qARb
X4DmpKNFnwCfrvl9P2RmyE1fqLUuqJv7aerXASu5d6FH7sGVRoojWtHZzVwuvzI54thor/2mk2JD
sDIhmEra6WGqvKjbZKm0zzPW4QOJ2/UPs/a0btPWM2s3bdQRsVAiAVXiOVQYyyGzu+oaSChpM1Xd
f6DFYasYK1PmJL92TFoxz88/q4LRVz1r0QUg+HoP5JQJbgR2dvs1/3GTlCyDpLbPS5pqF03WNW8X
JuRuyFPEibFO7ElJkZdsSdAkG68eljpM1vxWg9CRAKdlc/q1+GpS9EiZMXcfhOJmDDdtMLABUM8C
1/88myFlqPMw5Q1l2VowVqE5MgfMErM4gsuurhEJLwehd2rLcJHDuM2YhpQ14bjbxO54uPulpOOP
fXiwZIWe45JKo7Kd+jZevl6F3zxbGrZLAnma9VBeyvknJqZ1tu1SnvhNY9xxDFYfDKzlCL6H4REC
LI5KQj6xY65jyXmVoiSGRthkqvPdGY3mVRsc2/M+xoNxxUKD9z+MahtjMttLiq2Xuouh5M9r+cs2
5MXtp+JootcIrFgYj145zT+9GaQkYCyEFlnqB0aqOqQzdkR6ODyW4pibfnP/D03EX6CMyN5olUyP
ppFmBofeX60Q9qBZNZt1oE4gIDcokNj9N6U/7+Q8cVWkldpCKXJ/giolshMUyg4o2puX1d8Vycth
SuRmqNkq3g51KW/G1hQvY11XN+nC1lfXS+vVFHky3dRxXY1XbZJ4sJcYlepMFXbpxAdZ8hUeYj+1
z7qBSqKdSuqEovSveXAvu2qy5ivBgnXbNoNiAs83a4pBu4Cecx40251/ll6s2+saRWhM/Lm2HeFQ
byhZHIeBCwftLLUSTQrDyDjnP1qQPVbom0vugK8aaaqW5p7AxfW79NdyKaeQ8kFEBkJPnQdh5XVo
TlF9m1uGh46r4dlv0OqR+TI+YWSO0SDZZvHaWgTZn/oClsc1xJiYDylFbahNKH5CRm6JvsFayWrj
YEEBIrTYRrfdiS1vCOWTjARq8MZCQ+Di+o6POY+SbbSs/0dEIRVt9Y44sQ2ZOYY3IsPwzCtfF90H
Q8+p5hSklmr1BNF+FCW847jyyQrm4odgOFFCuZNB3s9McUUbox/oeri0WaZ9J+vHWUfD9qazNdmS
/snK4SvBxEtE/WPOhnzXpn26H0aeajoxMSiYewq5pHKGpz4tXt2Wun2ZjPrFU4WVbts5HSnm+ez8
XHnpaVn48LnZtUubmdbR4Ia9zy1S5aOcncLGg556hAEt36ZZk29iNngmm4VpMtfk+7QImb+jA/Cu
Z3ABwaBotpyi6r5XJTXkNBnWUZ96+dqvbR+2v1Xh349qIwgvGANIIcPOWGKkFF1GtVi57D3i1L0v
rXZ4+hr+4xSXb3ZHiJYuqGxrg65l21YLd16PiOe7mdHIN01R3/YuLiUkU5N8g6bCtA/zncf/Fr27
kfbCPbJuzQlbMfhDJDPNO5IDPpVVZ9RRlQc2k/5DlXAWwVljGmIqbnX4ThxdX6ste2YrUJRm86xm
AsENRXvb1Yl/HRt1e0qRyF07MR9cy8G1R8Vig2qpxidkPrRVak733tp5Q3ytb8ucvhyVDZ2Zqpaf
ZHHHS5h6S40UB03K5NY/+qGnzdHt+GysW8hSJc4GFhR6bjD191+vehI+wwP4V1wYsli/A5K9j8Z6
q050sjxIcrWtaVJfEf0Mu6kleZZUCTY/SGnpSNemIZ10GqdkEs29XrV8MzLjEfB1BtZVDOGWHnu+
ygGmwT5tFf20xeqKgRbvrnDnqyXGbjKNTDW+LkNzovXl8m70wzRo842I6TQtEizuvzptIIQkcpBX
tnFgz4HKoPsoiCo+FIIHWYE1+XqIHHvz1ZaxGOBjEA0dBYMePvp1gLKk3rzLEV5i8k9+YsCcbxZu
N5QpSFuiQJF8jrWSqYFOntSlqQXCMwoPn/qQR+Eg3emuGQiBT8DYLdBc9eI4LbyjVVlN87xwC0pf
MfqI1pTOGEHOBt6oDEG30EYyMFFhhfgMSlJpn01Cfx940OjojZ2x+95nLZOYReTN82IJBhR2r5r3
OKPT7XQWe2wQ6Jdh5B0B5671uuBYo5OKTl8dsubRWHudW7WbCu7iGmZGk91gHggtg1//1Te7hJPd
TATN0tQm4qjp2qeODpAyxdX4+oqSh1TT6fnu10sTQsGOxUxxrKQRXXSjqK5ZmLO/Y7587fVd8ywN
ZhfI4ZhlDGuNokorOY+CCncD5IrDXTO7D1n48nUCKboFeOJfK5dzVir0bEFiN+27Xq2brTwfjPBL
XodmhhYx455er+emXY/hLpLdFcsRJkF+6lJr5C1/HaAOwC4s8I/JOm1UTbY+BSiMXw2PS0IsQ/cx
NJF8gy4Vn130TSxk1usnFxRenERB4fB2onXq8FVWeD6TqTiv8gtphXTvgsekg5ji8evZwJ6J0HIv
Ts7sSdd+n+HVqNniDI/a5lGhfI91NZ8wuwrz8Wv76ZcsMxxJBSJoQzaJkxmPtWN1aAH5In0Gc8e5
YBu1WOzubJPioVy/A4zk5J52ir09REyKImUQXCbi8WlWlCdwfLxrXRbmo1aSIhhxjj1Lwp5fEqeI
TvSNzuZrFAOBWhw9BLonAgHVlmixfNtxmrA01rp8R/AoV4iciIHsKTJLbuw90VtMnyTO6M2sj/K1
MDUGg4pZHeRISrSegsUCWbA1GepBwl8vnq9jdnL5NOjY56tWivg73dSMutAs1zqum+j+W2u6a2mW
v9Uu1RJCOFrFkbCCs6tzvCUj91HuWzy1MNNSW7OMrDU9ukyKOYVZTGV6hLPQnFRdMLxZj0oQRetS
2crPi2fmfJUEpI0sMEKr8Xk+YHRhKri0TAUrJK83WEaNR6txh0/C7ad9z0tHOJ9z46Y+xV9dyPpH
V7aUHE23FEdQaBSPxHCdTTzo42jzqS2uZh1NL+FWgdqj6Dx1qlDU4c9UJZlg2z4ThkR0sU/dgsCE
ZTTUNAThlBNSRhZYqRGJ2MAXPnv5Qogdo8yv//l1YwLH4xEDx699txXP1JqHyrFasNBOpjbvyiRL
95I4DiCeojnFrs0hQ5RDfBa1u9hkX6Ts552FShhZ727q8p+DWKQTJh2Nw9eAzu3qV2HSEaiWsdmM
Qnnc1iYGRBo43rE6ukWmDoMnXhbIVNtlnYD3NLIh6gF+WS4H79RHvfxVJ/Yn8+QfV25YK/+sJVpH
3q6JoMi1oTugaPrLyFtasqyzpj+IlOHwBpuzfYbkZqKDQaMwC442XP912Mf6hAJcos7vbOuwUBzE
xEBdNCSVJ2T08xX8keZ5GIQ4j6k5feNIWHZ/X1sb7E/qPwqf1hfrGas1G1MMNpu/vFhgBbk7alZ3
0FJLD8auch7An9o43bLkrIFXpLxeC1FjpCnKexaFOqOMU07N85bV62p9PYX//kV9qa3+/KIAJaDF
Wl+UK/5tNxIPXMm4x7oDOCX2rjBiIvbAQ3O9KG3cg7JKtnTvSzhbFrOJaGDIltV8u26ydnJizC+Z
4qKyCofTILLlB1kI7r2HlTHklKUw1FrZBE2Pk+7vX/n/p1NZQe3rtw/owfrSuf1x39qaMO9i1N2H
WDObU+Qzt2FyT/XYZE17X6zD18XCJjFyJr52M0+RSlX0hUNv/7Z7+a9e8R/0ipih/9Z0tv0s3tRb
+/nHTeWvf+ePi0pf0GwKsPu/KhJ/M525NjpGFo4eOVQAJf68qORyRcgIpB01o7UqHH9fVBKXDLgG
S5pjg29fd5j/waISdM+/3bJM9eBx6gYhYKxR/7JbzzPkW8biN4fZmZNnXL9VvXVqC3fwRJziZnLb
st/VzXxXSECTG1LIN+wifZCwOgD/Ma2Qx1mLwfprKImJqXKHh4auPqfe0VYhUoblAA9VEfd3Feij
AMv1q9C4VC18oTvGFizrLD2mCfadOeBDpBRGPvbw6/qGmfNtkVHuobpC4uYCcRYr8KM9OQYPmEGi
Q9LcAtxe0jYB2vD2agJDCZPTwk002dle8eJMYiic+sjCKzoCN+4vlR+LE66118xttOe0KJHKNJUT
iGaq9gik45DmneRPr6vPy8QxVU7d/ejFH7aW8yYhiQawMO+RJeQ738+T7WxbWpAhVNzDffxZY4BS
ge73YAh1VJ52TedvNj2Y2oXfnozmvWNNepC6/U3PmjAYTPRQhvcYjcONAW0zSKbqQTWLcT2hV8FL
Uo2B6an1HwDr5/JaePUzICOgqkY/nZB6vaIFPK4WhWD1VeVz/tqsQ1tXygdI3csLkXL6lvVRsiVG
adgNOvozcFwbLsHHyYrCyKWHySNnfQksLW1+tN9M1h76on62ck3bYSYmXbPziyfJXP7JmCzkW6tI
sYkjiwk0OjKWVw0Q4vJnt9R3ukPbFwnt1MPYepNAlB9rbOqQcSIKC0YwoaL+uisUyGFv8bDo9s15
BgT3LHLv0elSuZcT1bnRzcjAo9xlG+MbB79xvBD7+7diqbUmwNr/LRZRfBJEAbqoqdY8Zz8a3jUd
AsjGbXTrnmrWui3TJjG2Cgg6OsqkWcIiIXZeM6aQqLI22ZrSunRFjyvYi4iJtmgLo3Uenq0TiQT6
zAbwb+Pv269pRVwbBlqmWZKaZdOGeqMjb01jGq7W8xpAbKvZ31ywaVeidPRXwRvfdqRQb8o0M1Nc
07mUO8NrozawwIJewTe2+6PEsgM2IKND1Sp70fZeS230c/ZddVOYLeikGMgaYrWUgAu0ScxrM+Ph
66Hz34P+Hw564iI4+v5vScrvnI7/kT//hxZ8KH+kb3889H/9+78f+s4vqBOgtUD9+hKoo0H5/dB3
fzEM5Ouc6gBs1nP/X/IU7xecyf7qJjaAxrkOf/SvUx8xCdAnn0QLNCz80X9y6q86iT+XROztBCB5
UxA8QlDgn4vK2ahyqIaTfoC/DgHhJ8njZwr0I1PhtYQ4oEc4EeIbciM9Gzknm9X9Q22zqv7/7SUg
JCOhnvdsrkiRP2nJpO04tccY8yDbWb+NxPPs19fdmDMGoM00SZ7qm2Hr13EF2Si6qes421PlVaEy
XwQy6CVBe6rFN/qiBan0dr0PiNs1bpuVTYAyI0D5t9VGGmS9fl+nFdCrg6EiZip/zZhjrP86C0Ea
+fytW2BYlkSFa+Fs+wchewrBOHeuUeNWc7DoPbo+re0sFpg5YAGreqJJCVquicOEA6xEIyFM6yoe
FASKbLkXfQdFu6BL8rQbbmhmEgS+08NfY5S55+QZmFKuk1jcVY7/Ylha2MXuGz5ChPSZEfiOtRGO
CyvUD/QkCQdZbMep3LRDfpk0ECSNasO8K8Oxr195Xun7tBju4s69Qs3/Y4mHTZ/lm8ZRxZ6xqheo
vi8Cq6rey0no+5zAjGDW1Xsl2JE6Q3dddcqmOas3tdPxyxhf5RaLhCz+Vab038PlHw4Xw4Ss83en
y/5TtvGfD5Tf/s5vJ4qn/7LWaKTD6CbAK7FGUf52onj2Lw4pyCZsbqIUsBfyR78L3jh3fj9BdMKS
XYFGFywYzyTzPzlAOHv+evuulSw/THcA+BCywi/6Y2vim5LlnPSKg+XFL4p1R9B3uQxZtzyDxnlo
8ZShgmuevdJ4BqJh7Ab6boS0p54Zb7hojXm08OIfu8Jf2O6DfvGHvNhzFgCF0Rp8pqPf/pyj0UF9
4qLI9jr9WouL+hWGtn7RiJHbLzxptxYs9E3tpekOqDKr99i9UJV6d2pJKXX6kraX5XS/spstyLdh
p5kYMJVoT3rfrhTYM9Q+ADG96IOsmJiYu8u93UX2VrrK3RizGh7N1M838TxFx4Qo10Boxr1aLHvf
9fF3R5RgSxR3mlsWyU2vpwY6EV6TTrj7HS6bNrRxaN95lstMqHhiEBIMFriauSFeq3THN5LKMadY
7M5anGs/UorTq1yJhXJ2AQBfNGSvsDYLIQW7e1RS3UaJYgqp8z7Ao1vs181om+aOWD0mb+Y4Y5Xt
x1Pm5+WOqofh1sIkjO1FHJJ5CE/frS5l0+36L26bdo7mjBQHrZkOteWrYHKlcfFrs3juR7v+ThW5
K311T6FZXnLgUTDWvHYIMg8n6CYaipu2tmIVmt6obxqmRs/DIlNWHQxRrQ4YrWXBiUUSN7YPiKKj
B1S39hXrpsUNtNIGn9c7DXLmOr1tZaGeCWnrPnzb8Z+m0gJbDNaCQaNkMZCMfhl2CntKM5Cu4yqg
f1VhgVQqzNE+IK2oX9w0c9FuuWPxVOUVlpwi8fe6WRi3gt2GG4D3Z7sS63V77Tbmuu2zWDKlvgmv
KRmQ63VmXdEZRATYL1KvTo22UA83kCsbvO8s6YktLFOsH1JezfSOO5Pt+qtrjhrRiBEsRpAX0VNm
FvLBsyLouGUqH8A4GLeWM8kroZjdAnTIXmvYrHgPDTeNOW0XY1dmIBwwDUx3sz1iSulzHn1DLKaw
S2FKLQrUoMXMh+k3Gkh2g554o7otnuZ01n+0g2sdNcsask0McOwQr1k6bYLOkA+QqPFpXhFSRAM8
jtKuTqj2GXCYGFu3oK/nOzPm0rTRSeQHuxt5880czxc4IrzGEpT/BeK1vCIQ2sk31sz3AKuDH0jz
kTRh0aZVOI/lvJ36kkkr998+JZMLRzveyy1aps4J3KQvnmqjSm9njFofabOMe2Ow6k/ERtNdNJAo
+PXKsohBEDojgx/POsy9j5cE2AjGU/jdUeLdi1X5JrS+JKE9EafKrobHLhNsWJzZoflc33hvlfNl
Huz+mzuV/IfFikqyRw4RWJZyDnW/G/dMdbLXryuNBpPftsQ+uCxjNolKnpQfsmCSZ1Wv0ZRJnA0b
e2mKJ+Erkz2wlhKcWgr3HnWTOMo8mi7GBHigbWmczHgghqYe+VIZt1UnzEF8ayZKBFRKZf/RIy+A
RiCdM7vN+aqJDPMS6Zl3UQ3k3IQrEou1b0evvklTi1M7Sek5J37Q6PEb3RmZRREn2gPJJ8BhnEw+
YNH295L2Jfz6tkpVygcIpJ236fKoIgWnHz1WUHxyM3nq10bTiQgrFN381on58cNKfnYJPsc6wT9S
D9QThK+N2Uiks9ly21XJ7cgUABr+49hALRtt+VqlXrCu/ze+d2P2w1lX8V1CcE9QkPpCIsFPW/lX
8ERZbWpMDEz3MnXWzhqTfe8sT3HbOVtbn7xrx+EHMiekpNECs54JCTQreel5jg0EHki8xanhXESd
fesgvd46I2d4bngxG4ja2hhuJTZpOd/CId+qiZiQSJ6syo3ujF6bzsZkZjtPxjMaJtZte0fm+Lf8
UYQzli1Q/tA7xpFGtvfyJtlqrfFRxdNmbMzPpoKi3DBdu8pYmKBbLUkGNO331ugPlWffw98rNvk4
WGes6tGLFpvP5JqgW5NgGaqu3BGT2MP8qMZQK5EPZYzPWQq0rKFrx5EPA1JrUNTZ8lGO9gZZ3CrP
SLpd3U8PVTbUJ9/N9xYJV+QmLHzBrMF3UzNEQabmnB2Q8c2Z2di6fnPMp7k86p5pHRgBIjbwBraV
VQ6Q1McWHy/Y2aV8aaChBROx29dzrrunlgt/n82OTkcavehG2WzweCGAnaHl1Jc69dzP1GQkI1Sj
v7qOBo4mzx97o8veQBCQVJGNLGyYQW7YAXdB1Pn9ScCDgd2/LJwH1lgcYigr0PAA6W4WbC5+9NCU
3Ucy91GokwV2OyWtYnDP3qJnHWECTwFyP4TLiNZZGs5twZl/z2UFvMSJjDuCTQVNALTfTUli4YGV
VL0VHVigzjDrz44Y0hBT3XEuZR5Ydf02MLnaNh4ZJ5kxPuug3je65Gnvm429x0P0jsPgpUksVjRN
9E0Z9RxYFsIw21I5yC9bu2kFZvC5IlmJ25CJQBU/kxHQbarO2vaIq6/xjMYhRYL3gc5ivLh2anxD
ULHWEIz4NoR5zCcFJZYtjBl5ZMGM2bfMBZYiOlF+dgxfPnu8PCeocu5qgI22ctTGHc90tcs7/m5c
WiEWIP3WjTJ5bwlrwjTUUFmhSA1U3Xq39VijASSh5FWZhnXrwLfZ2FRYQQuBcFtwF3GS9ylL36Sy
m02Ul54fEI8ZX48TwJdTZ0YGkr9uwWXsN8POi5tS55aIn3pn0s6O0Xqb3ELyz5cIRyRqYy0cSSe/
du2W9Y5R4ZciOxKbvVgUj8FpkLcSf/SJ+EXGS41dYuFtoie/SfuLIvIpQwtO0jEy5Uq77WPPPlIp
5HtDl02YTlD9mAxJESbt9LPCI3k2yI//ptpUHSBCNN8doqtYXROBFS9+slGuwocmapBK7kK8CFVY
OY7aSZccYLVhNgcZQTyt2z7bZNEc7STzNl5W0exnUfxACIW4vY3UOXc0/aaNqhYXlmz3jcnAc1B5
tKFmuJlkthOato9N9oiFt7xkbSvrbUYkAILppmUclxsBi5piVwodPW2biz0BVTcTmoR9KzUeAwPT
Mrvoxrslp8ZDadrx5Bq986ya4qHJOnUgCE17wbt4izO7+1QuNI7GmfsdGW3xDrks6mML6lfbotAb
0LQGjBrMYPT0C09QeSa4YEDXOsxBB97vyaqn/aSmGEn68jA7lns7IUljZOVl+7ky9thEAOQYbQjN
Of4kB3hv9TzyRjad4ZhmdKok+ZzS0eiAanbREYPsdRo3FxHZ9hYGSHYkL2e6ijKP3JRtRnDJqnBc
Ln7O6WpcuQNWzDHMVuRhvc9LIg7uARQ3jOKGTsUBb1gAmfQ1LeaREDcIaXOfCMdy46pino4T9e/C
/neY800Wl7kdzl02bievNrPAHvIpg60zDgSVl06am0hORvIaEug5owgcK5Lmgafh96kU98AHx11Z
+cMmFoN6iNxlCY156W7jzJbMsm1xg3jhuVmsNFxq55L6RIdkS8/E1q/MLar47Ex6hP2jm1jQZma1
/DA6o79RpavtUmP8bGP0fMo2xxtvHInc8VxxAouiOP2S7s5XhcmGH6FtTKkSks1ubWfNfYW2vKab
DNmb6uN5k2qtwEYOBAMriRPEGSkZeYPEHC7ptIlqjyzBCNrV1AvEOx52ca2fAkBwV/gyVFAU2Ydr
MioWTQlpzCBEWor3BDvyljBF/zSjCqzCzFiL/nhu+x+6UP0HnPLsWqmqo47vCI9mYXzEaP6gj6ju
g4ZaRtvmY58fF+SNwI7QVF+LtAXWVJTL9wI8502XlO80oCRCSBOmGzMHLPGwjuQ2rZL3pix56mtN
+eGOznpmkRmxI2p73LWkt7xQvjihaVrTpY8AD1EDXaw0s8+4leMuMBjgnnThA5KaF+40wnifHGAy
V2DdEAgUo8cUeu6Lc141qyqLDOofFWKNOIiylAx1I+FRoPsrYoDWUFIHFL73wfCJg2OMbeOSDrH3
HQRB/bJYJQOURML/GSNLaBz5rl9tBl1VjxVFf2gbiweCqZe7joMx9IzliOa7QldKkwXwLb9NGQO9
GJDWkby6rD7sKsFtD+NSMr6XXEIxRUkmvYTGN/X7R3Y8bRyFLAKqxWKgzHNwmTdTqpYxR+PTwyVt
uhFrUFkeXKtPD22jaqB81Wc+gaTq8DrRPnbXeTuU9Fmtd3FKfbyLk77GreQv25xNAsQEBCB2LBme
k5y3zXwvOvHCvtH4RVvXT+QORp93LBwt/i+w8jca8z9NfSxnJbX/3zPlA6vDNP3jFNn49a/8NvQx
bGDNqxeRrFvLJmeJOe5vQx98cL+YAheeYHf3tSL836GPaf4Cl941Gc6s625wJv87BDKYMOto8AFZ
wsz5T0En9p9nuOjrLA85LS8LDwrusa+g3j/YHNF2FUtG5NhD19U1z5ylRL4LMwDd3LLKWWsRt/fQ
T7CxuMh+kiTXLhQXqPiEhmakSJGOFd2EIkuPCrXVHBCKvgY2bMIF1Ok6P4fLEcmqNsr0Lmvx+oII
tK2jTJDnDMLEHA885NrU0D5wRqttSqrAXrKWuyyZtRx8oFrBKlv+rBYNZHQilDhrPIzPU1UAZUu6
Xr2Rtzm/kSw6p9RUfGybJB5pe9u8XXZ0wM3JnhHMQe/N3kgOme+0fAbqQgH4MrdLu2FEnbs0xUv/
ObaxQf9SCNB5unEfJ849HUiaBkQEmd/WqU/+D2P0L8v1vyb5X1+B43gu36qOVZkwoj/P4cqFgAct
6pyHpbX8IwF4dlibU+sEZJfijrbYOjKSNkv/DqqveQ1BkrdWO57EFJ/rdI8JKequa8ujvwzjzRLZ
ya05CIm7Jte+E57XXZI15t1Os+yGhtoA47V28rTU3j5OUGENnSXPntd+6+ETH+xaXQOlMh/NxERB
4X9kDVzLP9wkd7++uz9qYvy/JHCwVkHCzTcBkVxHovhX/n+NnjFm/VyBliyjFwwX010MTvrZMMV0
pxFpciSKtj0SCwFXIqF6DEqy7XYdTxN4OpP+o85XOaVvq+m8btROSmIOjWb+rbFM85NUQeMKzYU6
J4MDfwPS3J3tRU8MY0zcLoxKyHlCvJYX+gG5eLVPtFbb56PlbGfZ9uGil1zTVq+PV/pifSAZvlat
aRx65CMHrB3g/0VkbVMQKeFkoxvVmTLs7PSlqH0yl4RU72mCn77oLfVec14fSYtsDy3wlSBKKEjr
cdiRjDxduCnzWyQ33Exdnh5y60Nnw9gGTtQ63TaHzHPl8UgG1upNwzbFMRVI9/+xdybbbRzbtv2V
O14/PbIuGreDRA0CBEGKhTo5KNLMuq4i4+vvTMp6R6Jt6bjv05A9jkVByCIi9t5rzZXQEpOgXvSY
7oxTFOJCPBVcU1JBkmMeGTUSrEx/mJAC/O5mHCOA2lCrM5lEJiCko5He1LZbT1TxgdwO9RgwSzq7
hTYcLU4qHSU7FJhVHclkOzWgWnzAXvqFmHdx3XYaF5Q0z3VM4O52tOZ3U0klTJqxfTCjtv7ihWl4
ZRKL5qt0yk4/f3Y+rFkWDmaCSDROxJrBPI3IpB9fmNn/GoSDo1witMo3ndcXODJbumhiRITpgEzC
48Oz05TyZdRd6bfMciak5lP0iq1InCobXWndqfWDg4FwmUWZuqkZx4tZKlf3dv4JpC10jaGxMjZz
puQZ9/6qRKHOTAs9cgtNEDJKqV+ESn2wcCa+6vSu6p0BJyxX03owOfGyoJYpNXrVaSurU/QVhDsA
n4kYxAlijLx5f2wRhwH5iZELNzXUEq1iYoxIUX10lbx98BLE3IUia4g9McKIHJNQxHi7iL8Uarqp
y0bJfVA4fbQw+t7emJNk0p66kXvtqgRWr35++T+Ksbj8iFlcR3VBLc+TiPnV/m7LGGvwHCgPg4ve
VAhEOs3RFlNTK7eJ9PgGWqJTZdetcpegpycsTVRehTC/iMTGVWO2F4N3kKZQVgd7F7PoczrYzbTw
OBIxDtea4Im2FV9m7vnu6rhX1v/8CzDK469lI72BNfbh+Slk2jZaxJQBOVi3EokmTnUVhuuaJG3k
ygXrTFCPrBe6zRIDmlJZwSOq4B2q1kEbAQ3y7sFp0qfy2RCOdmWTdrmP9KoP1nXmBneZUyO4joqQ
ivTnf/f3/fg/m8X87EPYQYaEdR/uF6PfDxc/b+JGmqN1KXsLFd7YtsEbT3Pgbpu2ye41iUoyEa24
zkhT2HS5yzfQi8LeuVU87MscRs5IT3KXWWMDJb5W7gih9DbeaKJswKxSIDdt4yvKD3EecxJsGQqN
7RuaDnoqXmx+aYOx36lSugMljRTn3hzTYuOAFAOHgmpZzA3Pru+DBz3Ski30YndPOBBmZXRU66zF
i1NlkXhCDi43zTgEnL2jZiULp3D9TtfF7xoCkGZBQgSCjbbStRVeEkiiZUpibLNtSZ1DJpRW1S4z
6XhhjGh2nAnE2ZxfvcBTwtcmUCKCClL+z57+2V6KRr9QPtEqzxPk2LSNolcVw906gan2xJM3/A5A
d15B5kuT4F3u40IeTSbTMc5dVr4qbvAw6nl6pyIpZVYMa+zRyRMMmTlcxzASu3TUcbXNjUHFpEyM
BO0Mi4bsCXEWe8nPHwQOidzpH54EhGWcGWCXW+/HwQ/HBtZqaE/pUF+oyvFxTCov2OJ9bc5GQUsE
l6aP/pEvAKUyXHMUq55tvZOMgViTVmHe7iKldhDGJNm+jmnRLaZcjVN/UJI4h2lbrBHHzq+r5qhf
JuwAn1j+uy86xf7vPbwIZQmPL3eWbeSWSO45jh0HrAOrHMkzz4FZoN/KjCzI1pmGmWnhkbOzdamc
lpOsnJ0w80/02/HlO1E7Zb6ixxuUQcoNnZBpXLa92r+Sec0SmRbREn1muRWabDfmLOJ0stkEoM73
tRrj7qEVTD2UlKGK0GO58ozpQcPQtTRK2Kn8fSICNRNeCERjPKyJ3mIfBSbyYjjY5htCnfcllsqt
9EiBpeUg642kbVQe8U+ZeCr7NLpnH4jvWyWBcS2r0UCCFOfJA1YkjylHWtvhNuLcQhaHwWqwaAnF
fFU8R7tgPZgPOI0o96qLNk1pc3vZUBiGCyOCVsb8BbhT26cseRm57PghRwSti6DreQ2mSJeB79qt
aS4zgFJ3Ydi1u0A12XWklhhfIgAOE3wIu0oPCuQBjj/edBN2camsJL2YLznS79Dv6hyEHCu76isF
orTQGtP9xINA+58cjwMpihHdRrQej1qJk4TnqZc3yMQD5ilOIi4NZ8steR0eWRGtlG+6nbqEW0pl
hdAmhZNEYxcmaSNHDOAQwVyIVGidGypblFQ8hXHNKXMhwmbZAaGikK0CdRkbMnsD1XahdM5i3+LY
ilOFUG9ah2l+cpw8Ouu5M/psBnQxWm+SN+8v0r96hl9UtiiX9J8CfB4mpqBF+H1p+8fPfCttVRMc
p6E7xDHMKUDOd6WtpvGfHKpLOGdf8xaoGLvof/+fCfRHo3Z18b6baB5mEcQf8oYZ4enxRsx7HPrT
WSv9DwRSaDN+WB4B6aiaCUGIisHkvPdB3RD0oxZbbOOnPn8N24xl7hclzI8VjAUZ6McPoE3w/TGo
EQaYRMEHuMguIzfHRP6MfzD28PG9/nyxt7iSP34Z6iSLU5fBkk+qxEd61kSPMrMyUzvCwJjUpKIY
oj2A2NbDG1Jbn3FQh+5LBBWnUzdsUK0iEcBZU1zsVUOtw/yV5dN1cBaDY4D9uKH3r26gPPe/x66K
m+iqb5i/mAfVruQuI407aO5cEBUH21TK4G4iwQfRo7Vvu0Q7J3VJzssEO5yx5JxXu3ANxlAkv9jK
SKj6AHF6CdCtjtLbGiXuQA/ALAanhDYJxmXBQRdPYdHr+0ar4k+TyPpDFtTMNeSA73GdD3Fm5AcH
kvLSErY8wVS1xs9KqaJvVcIc535HxD1GO9O4NhWnkocEUopyOzLrRl5GYDPHAIaBadKJYOMw3G43
/64a/w32SyMKl4fz7/thu+I1fv6Qa/b1Z76poMzfyB9EKmOyCnxdGr6JoNzf6HXjOMEo8x5rxiv7
bdXQfnMs9JbooyySzxBP/f9Vw3B+gyEGo8tmqfHQ2/+jABfT/PBaw/tFucmf5rGy2QTyzg2z76qb
Xm+jWEZC2QWGFEujzrJnK6HeXPSxiqQRn5uOO7edqCrJ8x79NKQytInMPUobh62vIcwEHxoPr06v
5deSof9nT02QGYckbNPr7ZV8KeBoM8aQxefcojWAQku/Zixmo18aGuOIxIWqNU1yOvGotW2kGO4t
GUXZpRH9cK0Oz3nZ0Apro/Qeb1vzVGK6Vnh7Ms7UqVqJZ2TQuSBJS+Ekphikti+FVxiChgYJE6vK
rtMvkZKieTSa2cM26U1Az5/gqFTUgiEwQZTHWS1lIDMPpLm0Gt01V9hVHMOnS4W+MXETY1PjKIzm
UIvoykCx464MvPiIgooM9WOqpOVLRVvxqaROP/XthJHcgGGBYWB8cfOheKLoACOFKh+j45jWN1OV
hM+0nXQkmDr8FoaYQw9F1O6pKUXsjidpifJsGVOJCsrFJ8CZdXQ2mYjTk2vk4sbMDFi6E5jxttxx
sOhDUCW9PxQ9HRVz2ox67JzRTsC/SYwcBFSmId/O3bNtaRVk/6S7JTGqRUrckgo/Tgam8QpnLg2O
Ym91obNMYMweXMJRg51stXo/yCxiNBFanIxiq3auXDXXC79RpuzeyKv+tjfTBha/NspFnw7aY+yk
wWOnVGJXjVa9ItNOuRolozCaNzYR3pMJDyyQVzLU+ocsnarat7y8uRrJpT1ErjtA7PdkAjF0Doxo
M3P2pBbZqqq9IkH769W4szRnOGaKaGYhap8+1++zolYwLgffibRBT8b2M3EooNlHoBK432ojxN7h
FRpktim+RFVqPOgstjeetPg0mnnNLRZ4cpbryDxoeoKpMurLaKsY0EUWE0NUvRvqLQF0JBUTBOHb
hOg9AQFq9oaae7+Pzeg0a1vNQ+J6DAz2K8R83sVLbEwp6PBK4jRCwz5HZlykzEIRAy488sFeTDLi
QXpFqAJCFS6pRw/TxyBd3HEfU8b9bXR2RNIeW22K9g4VmLfSCD0Bs1YQN2djf17yuJZ3rlGr12HT
wdxVav67VobmsR7MHk8qFr0TLvsyZgPLecsfBWSfOQQkRPzM5RHwKBBzkN/AP0roKV2HA36YEvvS
lp5Qs6tCVUXBLohiDgzu2I/wvyQez4kNcdpHVpRs69E+a26Ch850JLI6MAsTXbJb4FHOsGoBhT8F
gTdhDAiGbOn0ptf6aaWXfpG31m3fWwzlpljr/NmQgQogVk9mlYurDlzCBmafRRh3i5wFNwnCb5TY
hFbzKPK+XIJWoOaKUcl8EsFo5Fd236kEzpAunXlLs5K9emvKFolaRmxTYWGFqJXt2Df3ZkYQkpK6
gLGwuY47oxn2Q1jYR5AqzSbvyHfJRCY3VZ9PN+zwOq3brIbobYU7cFnZzdgYzSUbE+GbaYLI0/Cy
FZt2vuS8ucgD4DNaHZ1AZC96yLR02OKrIdlT1/EnGUq96Z2gXnmx/mQHEeaKRNknib7oCSJa0E0H
NsSxwxfooe4jGEC7oG1KX+OyrDmgttexaj55fRUu0Xt6kJsG5ZhILdiG82o99epDoXUV+Fhm8un0
2rTDoZNcw6BTD4R/d5Oveam6VtvokzAQ92RJee86k7PL3eoFiUS2YhZ/UWkAMpzN7kOjubbHJDl3
dfHIfF0sYATAWlXXuVrewp8hfkg4nT+qE3SiMR2WOqhAIndE5W6diFnvZBfQIoa2RuoY2cc61tp9
Y7QHsloIOfTcYaMbg7nUWpCxSNYdldFfGu0JVzJjvl4lnwifaI+eGM21PTLM4DE62NztKzVsdBjH
fXFR8cZuFKtQ5mYhT9NUytPUBEnA80OD2o2t6qaeJu9iyAZrVBh32U2qiPHa9ppXp4zUfRqH2kGS
R7tS2tHN/coSZHUS4Amaz+Xxu6OFHy4ZiHHoExYYNvJ+EaqH0ykDFrOYBq35JFNU7jjMW+Qq8Y0F
UpdXIo186vH2lDcpYnmCQ2+HLAhuLD1A6N/T/rRKdWKmOhy8QB2XOJyj50wEz1Gr1jd65YxnXXji
ECP1v9ixV9z2Y5n7nWHvW8KPGDzz6CSK+mC1Ub2wFH6JEhFA2udvqqfOyyiIVnOp3H2JznfNUMhb
4wnI3uw2KE5Ut20vmQV0Jt2NBqLYiTVGuUq62CHYK8rrC3rVbFk7RXogdNeAEK9XG0+00YuZZbxb
XtlCS0/7Cw9hRraHmp0TK7AWdmE7q9iW7VLT1LODqmjZ4Xzf5dIwzplreEuln6pra9Q+W0Njr2rS
0m5zD7mE1Tn6Q1ea9bodAcHzZEQpcr1BnakYTkF8k95Qbhv2BhhHfFAG29tb7Tghf4vFzu7YIkUq
7Z0CiFj7Otz6t7r+RXWtMdbjZPmTc3I5Pn9fWv/xA38ckj31N81yHE7bP5yQPZv0Qx0/MQBBIK7v
o+lvJ2RjjjgkWBxbgTcfkP9zQqauxlMw9whpaWFJYqD9T+pq44NvgJod+gbW1rn9OLvaP7SgyaTp
BgB67l6tc3FQkrYiAUHH1WJY6WteDHKHMsTEyJcRqMmaGqQng5D1pyQBqoDAvVXOGkHb4SKqpuFs
Gl1wn0pe70MdC/ESdXESEq8GMd8PCtZ/vxYSzRSeylUgMud+wkp606NYBwsLnD7YR4mbvQ7DZF0N
de/eRyi8moXMGkryjibDtCxKfDfM4XaRZ8a7wRqyVcKIrOed8ywa/LlhvyLjJUhUdXZhlslTAmLh
oYtr8wI2updLEELBW2dIKJbKcEyzGbE4MWp7gtFWP+NdHB5EWOe+PrXRGxLuCjVUaKFFb4RzrmxU
70sxGS1veiiO0mm0EdCkOb05uQJ5sUjQ+jhDHp4GRccCCvAA0RDUJBLMSsO8YmydJr7KggF0Z+yj
Z4mlapsRtLtC8xk9kQeB2BUaobtpHctwwInZ2e2kRdE1J4adVRKWt43HLNygs3P3OMqGjUrurbGU
eW7f5hEBcxtZRJlDOFqkEyZACCL4kpRTzrIwS+910lSYJ4w9HdWPsqE/sA9Q+gdpve+DFC58q9lQ
gcoSSV0tvMPc3mSjZitDs1O5J5PzOhv/4PQX0Lb1NqTZuE0VtaUKoWcB9YQuJUQTu7qtM/LocN8p
fqkLLo6XIb9VqiK71pzAAQIDiOaaDkKJBMxyhscMH+zC7gnXOKARAnMUyUkI9nPH49hpB90yRLBG
xEfRXBdR3/jkBdU0tW34keYoIlIT4rbbk0SHN9OORHh2u+oNhu/Ub9VO1jFofKN8gzCYmdhPJAmx
wJC6l6Lh2LFl8JLdB71IdkwJ6xUDsMQghNAenivCs8/22AzLsios4hiNhph4ozbWWkkO9ELE2ngt
uzZM7msV8flwIxV4RdlKwxPTbeDpxhdgStE51wm4zF65u3Te6S01MdeW7nqktFfMoaYSK4Pt5MEp
bGtvmWulvtDMbngarZGpz6Tpn0KXz0C5uUwyeWu2IlyN0IYAn2jaUGyDQpuFxQHJwbyh/kDbcD91
JpScnJxBhSm8z0TcRyIxLpxCaxamB+O/VSvweoBP10mUzjEM4CzQbs8BzAYg2lQ76J2nHUtVw0JQ
mhekX1si/KwrWZkBzeVGRZRYTFsIwlz3OQoSlqY5BcvCbXgCTTBJJ8UqJ3vZtj1e4wacJra8bq/n
Tb6KEw5ghvDGq97AJDTWOXNQq++7RQmM4mC3db/Xkz6/YJM0CXgobWtjJ0V3Ubz2Rka8mGmZvCEy
+4SwhPRuN33Fp2suExuWUxkn7Z0Cg+3EIMXx2wInYSws7RaKHquWm3M+81oTW5/NkZbsiQgtd+j6
g44ieejTs2EW9x6MI/gsvNhKaWyTLrwQ/xgh7dcSn75ZARNRHawF9SeTO2nnPmHq89UuxzsG39FS
HSZv55SmXOmZPWxcPdEvdkW8B8sToRxmY5HNaOYrm+GQWIRm2x8tzqmrGnj21ZRb8sHITJMJFT20
KOXcIaqI2qjvnDt6LMSBjtC3WaRa1hSOKayVdEsVEuhESZMjDeW1mvL20iBOznJgbYQq7G5LtCrb
XvEQGmqKJ1ZhS6peAGLF7wriKUfm4n4Yp/XpnbYDd8A9pI3+jMoIx1SIUlCQXbhAg9CtCG3HZWBw
UW5GCugVxLiCkjHMuNo6nLkGio9HCmY8sYm4xoCCNhad8JloFVcxYszrhCSI10FlOktQHdlu6M5X
KpHvy8R0eiIf3PyRasQ9Rx3qIODPRfeYuNZat3rlZKWiuNYIZV9OWaje6Z6evbWT2T05WmjeOjAE
boBUh6tJq9V1Vpn9cQAju0tUs8UaQWdjhT0vY9GN4v42No1y70at8Wy0PNIwSEZA5nVxdLWqReVn
adfEPKY+kNuet2qcbkMtnz2nihafMMlxMqdYu2qtLNiqkZX4Q9Kmy9J0WTIzIGdem2xjBnnIlnoA
3ikWEqxsRrjEVkCrJOgiuVezKlrntIxOsZ4Fn6JCjhFKAav9zPEvxoyiDPGVPqTtFpV4jfxTE1/y
rk99hqvyzhgMeLZB4jSIT+MuXEBp+FSjAboi4G6EslKi7wVjnPC81dHFsnvtlr6uvpZlUmHFqymT
kDdHD1Vdtcj7bbRcbTnHb8yrPTu6eI4INr3DUYaaC0GOWI2jkTLVMSVWr77bW0130/XogqnPDY2Q
LbW258PtRAmTqo8TvsFiW4KyiB/QVcx+mA7SMTtRqrrJtSwBMiwKo89XvTaTco1BYHBShXx1u8Fe
BelEGczoHFgpQK0B4fUM342mfjOq+d0oGJgSXh/iPaStw63Mln1RZDfG3EkCHbzvAa4ta7uJ/X/7
yP9VH5mOJgPrvz8fH/6cA/71R76dkM3fLBz4ZLOhXzQ9XeOU+k1Xqb7HxOkcd+nmIi7jgPrtlIxL
/puZFn+/BzR/FlICPEKG+U9OxTShP4xoPLRIKogfjVgKsrU/QljqoHOzJBT2IdcroFw6Ll9Mj9rI
y+H3rVKB1XAY5dIVSkltDU5lMbEFN5ZKThcoKp7K26ysVSXft61tNGKloFowSRwNeKLpmw5g/pwa
YsYpjQAkOeu8GXJzPHVqGjP4n3SH0wEzHLsL111L2NvVYNbtSxqON6jMncDXdAVaYGQ76wyAAU7e
OpzpWNOt4koGwpI8SCTYHnFRJNV6eiI3utbg2C0Esyc/aVWKSAfgSrvNatBLZzSL6W1TB95Tm0mD
qp1NV+MlAyN7sMFx0FCevEfFsM2Sj5hsuRLISeJNRTsfZd1U5CsMLe51CrXlqaZVu1S8cvwcDyY7
DjXtuuxJbYibqJm74rpgbzcigo+6UsGEIHMgZn0WfbZbq37UW4N2sVbG3kvpuS+ZmE6u2jCkIip5
2vFLcBx627iOrVjdzjPIVZfMsdH0Jfk9hlff9AkMOV+dJnXZjfiYFhzCPQIg+pIl0QwYtY2aNWyR
YeVEJ/XtPVN78rabadxI6Uw3XqtPezbGuSMNmktZBCzYW7QV8SvPg3WTgPg3VkOpK9dRXrgbYdlo
WUqh0dbtirtIOhzB3b48s8U6/iBCpvEmY66jaQ36g4L6FCtErRvX4OdmpgLH5dxxnN0QaxIFnzUN
y7gnAEnTAROgftFJ4gvE2oCdsyXrHEYEghD5WZnyau3GmbIhIFaC7dOJgs91BxK/Vt1KdQpOvVKX
V6US9vnGlMp0LXppDxqmtcHsGPovvv2Tvp85REfF0hEO+6RTv5tcBvjqzT4BHDwWe3p7Y1YunS6o
E29NF4LGikYm8mIAZT3KFeIbTX35d0X9b1ZUxvA2Nf/fr6iXqHz9/X9w438M5fn6g3+sqwRzajp8
AjAE3qw7V1nn/lhX+U+uZ5pIjgAHuM530znWW12jWfG+jn6lYH2b6fPHMa/WmKZpwLH+Qd8BCcCP
KyxTRKhcIE/4O/D3Qrj342SubsK+yT2v3CqkNSwSSkg4vXoXr0IXN3OsW48jfjGmHlXMuIXkytBS
duronPSyz1KfjNqZE2jmN96QF2fqxnso1UzksOcn69JEOyrhSu8aDUOoiatnnSAoXQAdPVVzhxZ+
6zkRY/PsGfkRLMfRUMZN0MEb7xrLw2CWw98YejIhmvgN8VJ8yrmOPm4jPOAFeDmVhXZBL5QCUpWH
0lPPttYSdteMzyXuLvw/DQd7wtSbLn5rCWlfAiVB2V26J8cQmzEmZIDC/81Li+PIjIVw4Qj2Sb82
9fTYT/JsJtNBDfldTaIwlIufpwp8VVnLFwtdUDZoL6VjP9ZTS1wmsRXEGxkPJGhs48a1F6NKBG/Z
BjhaFAj2nfGYDtmzo+KAVsPxgswVMZR27nIEx2aavSVVocAY75K1kU3l0six8kNuwHU2DnehMV7c
QtiYgO1w12Teyxik3kaLzG3IrI+4mXInOWn66AW4MNijTCve61FPbGgq7uxouowVaeIGSYYie27q
5Jk8v5MTAQFjjMdkji80miSTdtPZzLhXk9Gta6+qFwoKcGnirxVdREmrM93USy4U0TWExHHMxDSq
Rqs49TqfAW556KqYzLUZcWpG+TO+WbBfKGjhEuMQmz+rgi+zUmp5Hlv13OnjhtjnA85l8q4H9VA5
OMyGNHozMn6bpcXHNBUHnZuzdUsPqPC7YNuc7mXQgQzu7AxWgYEVq+WDsDJRnnmmvGqsZF9O8r4x
a5SjlrgjzZOeUTH6BRvgMiiZug842jNdvLilPAzY/f0kauJTWjuPoIq/uLVx7Y0xqXagOia920qr
b7a1GO5kbW3juOp4UI1tmHOPFNVlStQRJt738mCXU8R5nPsJ1cjAsMyTIPDMLWo9h6DWqvdk4L54
xogPGh0vGdUZHZrhrm76O1NkbznjbV+1y27Z5+LOCDAYpDGktEwvvZW0lYiheEyY7XzdtcI+MVB7
xCmVgDy3TpVlOmuG1dQG3JtI0PoaDZshaTM3B3gc4XudKl2pPicBDnQniYAiKMGAA5HHLhMh3YTa
tHzS5YZt7UzDvi6tYYfIzt2JQVGu02jKVrWs8utCqaa1Sv9qn0d16+tKZrx0GhXS0NhXmptWxAiK
kq7fkqEH6CEvJ+4EEvT4HDiIrBdhRS2+Scy6wDwQ3Odf0wtNQiXBEZPgGQUgKtLPDYmYfioYDEX4
6nEiLqtuala1KaCXNbZtY84XTbh353hE26lPGXmJxRycOCrmfTlHKbaIe1dDbz2LYmpeigK5dKEk
0SpD4s/wieRh6dmQQfJ+iQh5NskjvwkJ8sQjpr+UGjV8W+cU8gA9bKFra0YR3DdGPIte8hjCK1BR
SpruNTaNfkOxykgmdR7ngOJer8ddMDRvytgcTDvdf7fp/IXz48M5mVXcQ7mM/ItX37HQYP+4iseJ
bfbJmJZbc5jNLX3dEWslTkzOca5o9uLnnzarvL4Tyb5/mseGRsdaxWb18VTumWNf2ODHwW8OkPy0
dI8PkT6fwYL+80/60UiFgQXkl4Eang9T9Vmq8uP3Gh2CcpKASE/A1M9ewGo4L8cJBYBPpxoxAv+m
rn/+mR868V8/02XnByyK0sv5cC1Do/Ail7EUYW5WtLLa4a4UvNhkQW1HBWHF/H3pFx2altXt5x/9
3uX/cGUNYIwWkhzN0pw/GXgoLGSCgmyLWNtYJijLzxNg8Hm5OCRlkm5VT7yM4ILW6TiAshla3ls0
KItm9vYC+AoLeSAHk10Xz5Hn5fh0+wbv6ngYbZZv19YJNAVxgdjsWNjNOreGi8jDe9WKiCYV5ql3
M8Wf08E2llVWT6EFXsR0WR5+/k3/4hGi+IJJz/RLtfR3O8R3giA9i0nngFq2jfR2bZbqWfXkOZeo
3H/xOfPc5OMVNXEPcrRi7AOG58cnCLS6C4lsflY97GetEOdJi82VmrEIF7YHE8NNjx2to5tsmM6E
0+Y3wOBJ65ThWz2wLs9HFcxzxEHoAu9TGwDt7u8Uzz4xst9ELss9GEuw0bjaNrXQxWNo6URZhDqc
iXiKD73atJciFfeimcEnemzuOyKdVgiT4N4U8VsQW/aiSImrbYRbboSSvAWlvHfDfk0rm827MrbR
ZG0jpAl+CDMFeoM4pA7keSYKZ2cClKnr/Nmeq3xurHTyHZgrv7iQf7HC4JGgOQC2AXfHn8I/HaWs
TcUotnIkhovjhGBlg2pgL5TR2P78pnHC/tM9Y+5mcrfAQDA5+fGeNUimnMyciq2VDhezjfcQK36x
YL6/SR+eC4feB1I1fvXQWf34GXFUpx0pXrS/vIGg31jovhnIl3mlJ69k2nRk61GLbYl2PY2BF62c
ItsrInhok+SLaw8FXoqhgWWXGNsBPx2waVanasqPGnnb0h6NlRPE6TYzmOEkIDMWvSrbKxT2K1zZ
n1xALwu7JQ7LnFCaoyodkRcZHb2CuqKoo/1NAa1vUDB0eHbiN6vgEazj9DjgikmtcEK+jvFwYuhF
F53k59lMPajdpSz0aGUa8vCLe/IXbyz3wsN0zzpM/0f/8YIVOuwVCKvFVmPqQ3BeHvsxrU5YfSnf
OeIKxBy3ltnknnJCdnwEIyoN0fy6S3iWg7RYKXYBADSQ46KztXLZR+rjmDAvcyFT0H+1T0EPowor
4CmiU4I6jpWoAl6+dJLpXtXHF9nOaNj4VhicDj3wM+jBxAauPqgnLlMFLGtjZOPGq8ZLSDt1kTQ8
nyYOojkugemgYiZLAoa8jW7Je69qhl8gtf/iJWHPmP+HiY7q7cM1GsPaybqR8c/oFkuOOGIBjGvj
mWq/CKrwF3dE+xMGm93RZRdmWcO55P7pnaxNYzJ08mK2jd4WK81uy6UbJHvs+VtP4/4QA0CPeqJA
Ql5JvyfhBBhmRzvlAAghGFlc4VV+nA8IgWzJsCLDo1hM7pc21a5gKl1nXt76kcdpHzSOsTQq8q4S
SSTPdMA+wGbMYxYa6XMwzqdUUrMTqR6xOy1pjeg+x1U4jAkISm7pe3kpTYG7E2On7zXp3lZgQiXV
OKxJi+4WGc2ynXDF+b0ICkCfL8cuLfdFP97FHYWkOytbZE2pZ8nxrgHsjs7LI9d8uEOhca6VeM+Q
uMZZgaOzSKfl/C8KOVtIxuYHsuqHtWaSUz2/Rq2wToDs7uxwLiCwTvA+VQqDVk5LapAcRU2clVPx
uyHWPiIC4xWj43LFYOil6brl2HOBkyw+xgY1iyc4ipuZ+ZhEw2U0TJBcpbUdihw0VbKX+Ty0DnmB
wU3uKYo3ecDOEmO5xEAj7+2xO2aa9Tlqae+kmnUi42Bp0AbDujUSA9WQKVs3JY5V65R15qPexL/a
j9+5hB/WQ846uJ5Uy+aJ+hj+lE1GUuOMy7etM70U7XBpVfa9gUISnEmCCDF9fi+1SwaQ687jpPf+
zhdRt0bZORLyx4/VubFMuyJZecQNuohunWXWhbWPILhYeaKfttmcQj7EKTClEGVVXWThS61k3rFq
PMIDQvbFThJxU/B396VjnHSFNQbw7/1gcNxSGwPdqhr3vgg7ZkYuJ+uQwpD9MKLvCQiFY7aT9Hfd
wAra6N2lcSlJPWh8oFAuptXDosjAU8SEQCzrUR7yaLxLAmw8uUZ+ILPRFxtI87qpuotDdbBNY/s0
sIlQZPZ3oOrO82m+c77tr/9qen6h6dE557JM/n2H7YgouOyb+Htdzx8/9E387v0GuwEC6KzdoR/2
rbXmgZHHzvmhrab+BtYdSoTOWIHFc/7w/wwvsM2DC+U34JbBY/NPWmtIQH48xrBPOiBJVdy8CPMN
Zio/7piNBs2nx8S4l8DcamaABMhhcE8CfYI0YA5PKm0D5vFWeYmraZbBecqidnOV9BGvT1YgENXb
pEvltGJ6n15HLvDaha1AlvecZiO82Nh3BYBGrB3oLixXYMsrSUPA5paOdG9Qxx6GbCzRKNJ+XJR6
dlVFTXqeR9ObXPWiTYD6Y0Pjyew4WCrEPxBatpFx1OxSxEpH1OXBUsoW0KDRT11DlBJBY6Qij59T
8HZIV50gZFzbAw1UaI4QZBhcOCeadOOUUex69UuayvLZSTP3/9g7k+W4kTbLvkvvUYbJMSx6E3ME
50GkqA2MpCTMgLvDMT59H0T9Vf1bVbd11742aWmWKYmKANy/4d5z75bSS64lLuwBn63gOATTAY1G
8DAmU5Ryf8UVQhhMjWdnTvwTO27re2y1+hvKPIZ400RnBBX6TzqxbEWzIZ1HqKP9mj+jKRP98VKU
MEPouQsoSV7h/ilsiFyFQANLAozHGGtOg/sUsONNJxfruwmQLW8whrv3GMGb85yrn0M8KXIt3IC6
Ihp+ZNKYlzg2U70h+1p/kZyb/tRWWTKbFD4amQACIkg77Ip91JwJdwmxBtu5PmcoB0JOPkd/Kkae
/db1x3eIIS4fclN9sRA2p3jJDVdSnn8vdl/d5rZ+sJZUXEpt5EUny3JDCvOwbUTYHcIp6lwmHRh7
GaX1rub7TMufcU4htOFT6vndaqs7sLWpbmZkPVvd1gF/0SkuIMAl/S3WLYscSDs7TiqpXtvGz95L
k2fldmwkoKyZtm9PZHfh7KxEAPrJXK+EYsezd1aabT3K6QXYVWsD70GPnhyy1clbpbMNehUQIl5K
D7uiQCX7F6sBagMJDB8tWNUhZC6y5jEP0FX4ag5v4XAuO4EeaOOiKbuTxirAlXjOvAWFBZGn9edw
5jyW6Rs8Ksq4GOTnl0J/i6JYimA1IPF/Sbs+LXLBQTCAWIKG2zj3Sy3ipzSZgZ9F1h5fPyFKbHIC
Le7zKh6+MTeXZ5vN2nYsLCvbDV1PyjJG35tlMUF3KGLT/IjbIvlJpnJqXRLlKq60JnR+Kwa6PST/
EckV+/tkP8yl82HiKmm2aaP6J6dv1C9gvVQ4cnQ+S02TuB1mMz93yF2jE/mBmLm4lNpTjq4NUZk3
wacFLAZrMnG8N2+wsxtlZ/4XUZms9ByIMBAo9VKdGFNHBDPY4V0pYOOfJ27ZVzRhFMMz7uo1dwys
4k6mXUvWcFN/ijSLf2js5ZY9ruEVmGCcPpj/CKlniK6O0zYYyJMGh0DfOdtKFzBRmqrRHyb0KVDI
IZVnaMaGJGwcIxtD+XCLlM0we9NPTsdig5YkMnsSkNQqZPP3USWXLauvYLMM6GomwHM7P4uhFo6G
PJsW7p2wySNgt1lEfA5+cWz7nhON+V64JY3YPg6Vnz/DjRVQo+xyYoFpEn/vh9r+cMuM2afPYTq4
NvKTuAHqcQyNrM5IN9Q9kw1wxnHrrfd+7q/gX9zEZLWiTVNM30cOs6Q/J+mELT6yRvlrCGepT74V
dSdlx4wqhT13D36nre9WhFiF4WoOj7OakceXFCab1ipivWGbMhysKFO/AnbRfxRi/o/Zb5w7r8uB
25qxgyTuCUaD2xgx40M2x0m5I9aBIUs2gkt2LYpgx5YvaYnSk5Dq8UavQoga0/MOtNbFX0USwyqX
iFfhxLBKKIpVTNE6vjpO6CvSRvTHbpVc5Ff1BZmFKDGA8DRbprZomVehxnLVbAyrfKNdhRz2VdNR
rfKOiXA2pB4+HDmEH74eZf5OfiWKEFCoDfKQaC4DxCLZv0pH+quOJJkSSKS4Sx6cYkwOqK01VK3K
fg6cMH3kWJyOZB0t5yEd34TfNM+KHLzn3ukSRPJ5kbyNIAqIXdURw9ewGS9r9O5b1AQ4dbqR1yrK
ZfNo91P9SBuK+DqtkdTlpX8fp/Qi7bC4+0LolGOb22471TNEYDfuDyoKVYGCva7RmdrmZx+U1gF+
SQb+kuUVrzrghw27d+D1Dj/+MrEGBvZAK6QZ3r74kQ7OBXKV17S3IvTraED/eOuqtrlubUG0tbfz
usqNcWi8ANJE1cpf/FuuK99x1gLwHEqkaV0Il9fd8AIj+ZQ60KQLf3Y3k2P6vTKEepfXzXK/LplB
B7AmztlLo6d8VBWGKrEupJPrbnp2SnK3FsJZgsK9w+yeYlpZV9nzutRO1/X2+nm+6nXlHReLPnFc
hEf25Uzor7tx1x3FEyjx7Dfq4fyUTxakZq0myZ9jmxmzOmt2t9R0qXMcn4d1Ca+TlkzIdTHP+8SO
vlnX9d51cw+YkC3+cl3oX3f7/brmH68b/25d/q8DJPJ+EQQUqvIf+lUksITxdO64GNkKuuM9IWnf
9ioqYE+HvkCsUoN8FR3YrLPIhkeI0Fw1CflVn5BdtQo40MR2NTgf8qEoH5NV1IDmAauCcYIPd5U8
uKv4wWTroTleNRHLOIplDzvCbV8aVBO524CTG7IokzfqqqsAs+pCuqvH+CNfhRcCVZh6DK56DA94
LMmAQVCSaFygWLt1A2jIR/mvYg50WSg7uPj55AkAmhFtpNgBPdIiiUgJDzImpiCDEZLQlKyUcLct
boyuuvrUGytjdOaJ/NNlkERqnkvs416Pi07x4iLeXAKmSNM0mGOblsBtLjyyLh0z9JHA6j5VsnxQ
9k7vZWk138UwuW+x6cNXR6XyolT+qppw3teeqs9IzuQ27Aeoke30HFQL4ur+L5Fpn4UJPsJ+7L+8
tqOC8AE2bzrRf4QxXU8QRtWjcoii8Wvrli/H3USa7NmmNOqvtwjGX0aqstyMyougEPR5dYIvbZ48
CAjztscQrTa0dGn6GgUMoOvFXZ6yhXoHpQngZmtzbQn+u3v6f3RPKKzWSez/vXu6+dOY/ruc/7l7
+scv+rfuyfkX6PboCOLVxPBP7VMU/wubpFUGFsZhtFL2/l3x5cUIENwYqIBNVInrrCkI/7uJwqWB
bgtLMV3W+qv+C/oE5z+NgmEgoJgQrIGgU/2nPYEXsMCMFmKMBociaeuBTXkanXRBg0OmVK7C+DLY
X8XabMhr3wE/Mgb3OpiTDuvh6ClHHfG+sQz/p4/x/7BxE+5/2hPRhbKpQeoWgOa3/6OneerELEo3
Cs4hcQDtQ4xQ+CFawG/ihEoE85Ee1Djnsc+wIWG9i9vSkkO3rRF0J7+jpnGeOvIolN7LOazDd2Kb
0vs5UyOXMcKhjzrLTKD31UAEKWJhK9pVAgrUA6bFqLN2fmCs6ASAd9n5dtmYbOdUo0+91PphqX9Q
8aZIOy1Yb9tYVOqZyPhq3qEUxSyH7Ta+EFbgrPbkYj/p+BX1WQZcOh4j73Fxgp4CWBI3r1U9bDhN
K6zaY6G+6rm2Idx6sEIHX8tiy9WFVSCiInUOQ+Jm1cXANS85pmeYLiRb+08QR0FtpuOh0ckbWQDW
UeeLvqi0cI5973XfuZ3pBzK2p11QdDdO2l5kG3SvYZNPj04MeDfsenMDJ2y4TNZg7fJwQRFWUYXc
rzPQ2ybNDhaEQzqW3mmfLT/+sL2i21h517a7payyn8CcZLixezHeWXhin5aeUgVGztztx3yYbtNw
ebH7tHrQc5+T8Ea1Tz0SOOkhKi3/S3c1TbfMOobtAnVt7xFo/Wyz3X4m6c3b1klUP4phCWHQedop
75Bdd96PItUYuUHqPSyL2iPEd5FTVOPrbNuEgsFcOk+BFMeqqpuDDA2dmKODftthsVjZTc6JBDK5
DxfmAt5iK8T9sj3jkxi3HPXBE5+6uomCUh8KeIyXlKH0JXaC6JI5dpXuksaufsJI617bEGG+Gh0Y
sGVvyRfV5cu917jTLe1G+BuBSXDwE6P2eMMBPDIs3lbs7/du3poAst7gHxY1UnbLUmafJY/9hvHk
tDU8aZsFVdqzHQ7jPRXWcCPGrt9TwsdHn/TIvbEWViVj7vEXMh5wuVrjfl9cwp3zjEcasHdyIDi3
Y9yn/OCn4DfZWlOF1i+ibRAs8D6Rm2TcwfP8x4Umf6eIN9hF00TdLn1gAYbB9gdKQZiTCWbPM8SM
Qu/a0aMDXMyaMYtCkPoyFF0XbVxVh+4WtXyFSQWqz65Kq3TdxSTWq5iYehJjUplzjMv7JpaiFdDi
7eo8hIsmFdupslsCkJqbKRv59JDELFt/WL06Q3aoZlcUG/Jf/G962DFgoD7q12WUzW1cxTEf36JK
is4iAbwVJ1sXRghvVxYpf5OihxyOeAK8imEruSJhY+fiGJZtcC6N/hFn4/IVDsu0T8bOP8eEG6zI
DzxQ0rHae07C8QPAc6Q3MoJ9v6nTpXF2JXPOeItqcJw3bafDX00Sxv2OCGXCDFriD4d73PT+GQYU
FN4a+12xcQY0PrdzGxp3Q/jscG7ToBU7hPR4sQqsOQ8CS5Jmipu6Dxjlx6dADw7i9yYbkMw2XfUA
fFECBYgyiMLQsy18A44kNhZPxn3AccDUNa7Whreq3xBqKjjDniGgHhr7HXQZdWsBMe924eosR8zT
voZIPKud0+f+zl496AHPaLzXqzN9WIS+I74ue8zdsfwhVwd7tHrZ07mvd7UccRVcre6iK8vvIoW2
hNdoNcNjHgoeu3yurJ8ktWCXn1bnvHs10YdXQ30qacoO/uqz1wSKXubaGT/SKIOusPrxCY+A+4hF
f7ECS2/S1bdvXy385GT5N1lMREw4DvpFeC1mf4QY2ZPDMvy9Her8OZyn2jl1uksfYe1IuMqzKVnp
Au761QIeo5+Hcy6OeqUMJCtvIGM5CDLbmYY7E9UD8AtnZCg+exHW1JKKFITrSi8QQ8cfR7Lk8Jfz
HRiAlY0HFQbdr8CK+SPS2F5ufc5mxHhecdalO+3VCDWBs2E6FytJYViZCgiwwCsMK2mhxENMNFa7
uqjX3JH4imMoBGQG5wppCGd3BTZ0sBsY/9CsDnRDNwbc4fVrA1mX3dSonbElefwlByfcd1nwXXjY
jcfIR5WgJu8NF748FxT2j7GXOfyp9berVqwEcCvvYbLkLXwcjhxR3aZzlECagM8aMpoIhEV6gFMT
rWk3ci+lX9zPomW4ST/BL1gm9wFyIJCEcQVeiBV94bq9u6szWrNe8w+YPdYvRDTqScPbvvGF8qst
oeYANQRTo2GFbJRESe103U7HtS75qlYYB0+pIJXsyujwr7yOeUV3dO0Ap5HrVN940Yr/EF4G58Pp
ltDf97M1+zuwALF3mDWhKbsJVMBbUBjT7NUKEvGvTJEZbcdqRFpZI8WVO2KuDJIoC0e0/tEKCLhS
SvoVWJKv6BJE+3xd2Se7zuHBAmn2PNvBSzkl4lhc2ScecUkLEQ2Zd9dd6ShINNwHFrSY/E3W/kL6
ZA6mB6gCYYTviwQWOCsW89dfnlA1vycYFncFsmAExO0frpiWSHXObcdxxlu0YlzSK9GFugu6SxUZ
TCsMy8tPDLgfneUQbzI7HkSOIpaXAiZFuOGts7ACQkfJtqD8SUpAcFA/j5lt7tuimJ/8wGHzWw22
tws6B6+fJmccyG73nMaky1EUibtMtBkYGF6x29wNHLHDIo4xHE2jR4BI7cNvWJNdEoxu35AT1FfE
th3fymLFF8zh41pgCpd2pUBjNzuL8Td61MsZGFXYMlfqg1tT24u/Iem4p6O3lhADQlEMzBQWAdqd
c6TY6sYP4DfHhX53i3C2ngbPr/1jz6UPzbVl/23zDBAiyCbqMhSam4ARcKNOpeLz3E1jkiVcrT71
V1t50cs0OT6C09DqVvVTcBPpkoM2iz15jNqgKu4Q/5QTwbMhs48mmt40LOlnYCDhL0UMwbG9jrlL
uMXfvpNYSORC1RxVpzHwAn5iYp45C1eGCrOeuD/G6mBos/oC3DKGbRXKv3Fj+/m2slP7LKOCKX1D
DMem83oCUibIJZ65CaLZxaj6323d/4/s3PPQd/9TP7L7NJ//QKvff9Z//uf/eP0Dbeife7p//Ip/
8/GsvvXY9WKHKUMYEpbz70sxx8bu7sE5tSN0L3Cn2Er9w8fjBf/iI0932aMhSKe/Y6H1j67OFf8S
eVS2kW8j/7kK2P9LXd1/wHOvegXhuwyD1s6JffO1ufon/ZdtLIsgDVY9o3L1+2D5vMHV/B1NGEQX
x1L7DPjwZkL48xyO0V3XyeFnMBTqRbbWi2J4f+lndHFM/QCKEuR1nhMvSCj0igw6qbI++3B9Y4PW
Vic/oizcCOGm3WMTitl78v28dGmDmsoJzwsJLu49cmG7/dFVyu0L+qOl9ThZjZR3kdR2iFF8GBcc
0GU8mJq5Mv5sauIlpe4l4UBr9aOKwHQi+Gjqyrlk8RRArnCT2OzDDH/jIat8V16MT54YqIymhOAN
1RUayB7g5eJcwnZ23/wZuzGSDbSmTD191mJ4VMNZnPu8FYRhlAijitdktqyeHM8QTukuI9nks2iS
6HcaFKxBFrebOrXXtGUDSvFu3SGiIMBQaPgRuiPBpu5NZHvrIieIM+JJHHJ/RkNxfBhsjrI97sMZ
sUVbnOoUBeDU5IblV+OZE0Fs0X60I/ExkwmCfzTNTtCTX3D3S76svrhTxFOdCnd8K9rcOxZmpJys
4/RE+0eqg6rT7B2nOFPsecjPYTTdtb6+yca+f2fQS5pEhc+xnrJ00wwxBVEafMOaG0GCjB8A9VEX
g3QuJ++cTuUb4zFWFLFTXAA0fKV5q/deUvYvGH7g4C1Wfez5SJGsMWMM5YiLPwsP5GcdCZNle5O/
BZULEDo3N0vXIg4q03tMzGSL9uajrbsLR3VzYj9G7mLucT9DS+9mGdxIaTsHjXI9S+t2U7rlm4SQ
R+CM1e7LevgT5FB86mBJHse4DTadjW8pBt3LeZnsyrkvj/7gO/SYw4NbQEYfhmEtXfAO+OOQ3bLB
0HeRAX6OFdnGrUyCYzMtYtNbKf1Mp6KvvHeHI8FY+RcbiOky6XneSyWs51TOPobz9E9CvsuDsMyL
MDmJWfVcHW2JK6vJZX4iijxYwWvBhsg3YW3YIxwMhsAz50J2YF4aH5i6+1uRWTEdyfinFWV9Nhm2
h4SzY4MMh4Bs0uu+4Ci020Ewd01TnRKjV3e7tmXA0DV4VwVlMVNmwBCOBY4ocqdXRzQ2F3f5ZlWA
vpZm3NQd+hxhrHcxJzYE4qm4ZArnh4VB4K/XC/2rX8Jt4SBfKhlvbLpBBcQqzXZ5Ww8lzITA8Mb3
OlI7D2cV3oUAOewQRY6A6B7Z6U4XA7EhM8LyE3PW/pnKfQxfKr+Uj6gE6gbdNoJ/ibKariwn+4id
eLd1qr547YIaS6ztLOkxL1oXKVKqa2JuDX8aD1a5bFA+ffeV8rZ2MgyPVI/Odhh4LIjMg4FGkzr/
VpJDdQ9IaL70Jm+QMrMyio+GR2vaWmSMTVvFT1vSoI3mr6PUmEOPTeQhmPo++zsXHWu2CADZsvFt
Jcd7xmXdRyd4WljO+NlycIbavsmauMbOQuJLpiz3aBNECqQNNQwwrWOYtZwSEzun1iafSngE+mFR
Bi0rlbcnWaY60lmzuY6Wn1Qb8VuYy4mAeeuTV+rdXXKbvSAxprUC6mAp/76w3XJHBVbcEPn3O+ki
vctdmb/VuqCvZqiR36FfGtAm9AtEDKdGn1UnP1TlwsaNGR+SgVG1Fyc2qOi94RbTuHzGpWS9lH4X
frq1IHSijAnVqmPwRH2a8RqPE8EWSdtMhxlg512QzIQNJqbbgQ0zxKFlLfL+vDm0lk2o1PrWrguM
p3oZPNjjAvcnizoWx8NjBQ5tn8/daXRsZtsJmiPukiXaoLZu2GfMHyw9BGr6Ov7WbvcUTn42brrS
G05eZH4Gc4FazratPdSos1850a7sofxujCMN4l3f3xeWsW5IWswOEZmNa9x9vIeSD+EzjdJDQiG2
YUd4n49R+bBY9nA35+zpm7kP0a5N1JZdwatFEuXe+G56xM4yQbZyo21cIDgA6H7EvY3+1DN3cc+p
hWYVcClY/61tpuZsSh/60ajF2iM+9xEDlzICUN36NeGgfRvjYZmO1qzis7aHZNs6k70Jg7j+nmU7
7G3wc9vesSy8XSwkixpv04pF7V7jvIh3NJzzjvYo3nVGnWMLSJ+25N9JhT/qPGwhdoz9we4IHRtn
Uosskhv2WTNlhx4vy8Uq1e+hXO4qdmE3zrSin2k+t5UbNg8Idlm0THyxRLYVByjU9nlBg36yAONu
lFwZdg0y6AhyyAYDLASEkqArEOKcdyr4teC2ZAKzLqFK88tty/IGJHKycWY618RjDCLnwrnlGeiO
Xe4jESjLv31QxYdJLr9SuTbSS8xZVswiuUtah73lUHD0l3H6RWmMm7Uy+hE+RbLNmHrcj340cLnT
5gR2+tE64q+M1R8QjAC6BQXDMPnvte6ZX5WdeqsifqtF+0xp+sn81b2PArLDlOZziG5COpDHVlTF
EzHC8mxH7nI7lJjBxrD81deQnTlMW07tfHiP5pYLw3gvJBwQgZUSbVZMOM76IK++XOIC2cLP7bn3
64AEr3DeAkRsDqgN61t0q+PezAsJi9781WUJ2TTYStia8TOMWUljF6vorbPd5bH0upYPlNRNcLxh
PzV8YJIffwAD+8FrX5o7MzbRqwoFv9az2YP1wHaqiazdKk6f+q4aH4VJio+wCF5EEBBHWqX3vtt2
J6+PUla4WUGwDcGyHGZ55v+g06eHFAyYZhPt/SUJ3K3qwpRvehjn3aKI7suB/zDgad3fAkK62M18
zxtXOu3DQNN2grcRnsJJRL/GsrM/env6LmRiHhbbs4o9bflwKqTxHkQdDJBhiokodVsakg0zNAVM
lmh6heCJsOtnFcUCZIzd2VtOTYsSw5WMD/0OtIX2IkIjuyLlO8W70iKY0MFRSkfwyjTI+0+6Iz1m
22OW382p94Iprt/iMbglwKX42REF+9Wk6lKNGVP8os3SrUq931XQiZcmyN1vJy1IoVh8oA0Ms3t2
HKseapOXWdHvJjFP33YVofho++5lYVZ/Tjg874bMqo5xEzwuzCkT5niIY7gOphMKRzhtQzCEvyH5
1NvM7cKH2Ij8HUWIjzYkFww3xopQG2SWspVLRZxuSHAZM/1nzeAg37L67e4n9h6okJJWbBBf9Olu
0ZGpdwOt/wP8s+qYOro4JOGIuglvz17ycx2NDqwjYqykPiKTzt85zcp3rrj+J0QY+wWsMKCOIszP
thipeBMVXIgZtfB1Ybpg+IQ79C11gdTcDBiuAd9n+oI6nxcCPQ74VbQ9F1cht8nqybnCfNC8DKlN
6kynnwwL/3c7WvrfJPEMpwi85A1zBfPgE9bzo/WELnn/2sLsPBXsylqQZ011hUxcm5pthxAd0gCH
E5bIUb+HLhBLD3F5BW4Lcg7vww2CwrreR0kV/BgTNkE/09IiYnKIJm7WCPEUL6LGcT/rAFqQX/oM
QyHzfQzhGCBlCvuXaoFfAPq/se6qZso/klo0B81uwd/Vy1SdUcrYK3QzjTa+X2Lb72oi/GxEGU8D
/+uJTN/pgp33ZaypjWHs9F9N3bQ7KwvxBZolvdENJWnVDMpsTD3Ur4h4cRrYoXuEN1jeFuyCD7DI
sl2bqmorraVicKWlOIxOMz5VvtAa1RZaI9LYyv1QOP0txN1+47tFc+pDQE+u9JL5mUGybh8w3E8M
YdIJ7ki5JarCpVggaSWeGcT3vevK7jflZk5K6KYM1ei/tCYNyo5jbIaKq7tTEWc1UNpiHjDkT2vs
XFc4e4ANjUbskXGO4s2CrdUF3slkgXhfZ+r9bhlTGZ40eRbOF/rQZGdbgB5vc6ICFTguKAZ4olJQ
Ei4QMpi64cjpY3R7O4CQPfVd7DxPytALgOs8LnBAd4NBAqRGLc+aZ3LXGy+/JZqDbAy3D/+SiuN/
280aXIkKxxTHqZavXRkn+QcW735bE498Z3gfsRMti2CCFUV/2kimp6CvKcEdw0xVod95WwoSzRns
L/4+7tijdW63fNoU1jfjLPFC0x8TWGUfkQH1l8VV5knKXP7MCH54JlBRXBaZj1tyPuROZI4nkWkT
kZqWKPtbO6E6IH3iODHd3WpdtPc+aYg7j5+RAOEB+cQ0xYganGKfctdRnKt5P7kkN/VVeIYXBneL
xv3ZpHl80KXtfgp/8k91qUHQlZxMpCJEmzBvs2OeegP5EiK69XJUdJuyy8avKraGY+X6D95EApYN
PGydM2PNRi8nXXc+ITlQlFJ9eosXNJo2Dl7DPc+NQk8xib2aCWiAFlHBKC1y7LVJnTHS4xpPCPX6
1VHTb9o4rE9WToyUNXKTNGPQRNh0TLe1bIu8osLzDm3i42KOQ+vBkJpL2EV26qeyuptKwK4ibTyG
+aNV7as5y/5ItLp3SUK61U6q9JQQAeGXHQd/z/pzhku5XTSpThrnL5fOOD8RoBTfA5so9wXs4VNJ
ZiS8KZsDk3XkJbedx4jpPYEPxGVuYah+duGKGEY+gYHIUdF9aZGYOtV2uQdZ62+KKvY+rgpeD5Vl
va3zrP6wZPehvLBEqBQdfbavNmLI4bc9cbFGWOGJ+YVP5dB4wuIQZCVOjL+3c4nOswjTYBcsILgZ
shNl2uLjbqafMqKJSMmzWNTvpqh+dgR/8rz1drvvTVOSMuF5RPbY7gbzXnLBgi0+y25KWDUBxaRm
vqZgEDuKWpk7L0Wmd4tuqeFp6cKjgzJ262o/v63StIRm1Nn2rvenPtoP0h7uO0O9XdgDicTr+Aex
qzzHSlUIBwdUVEVk/xkbWrTCFMOp9k2/Gy3lPqFYZCIg9bfJJnMJkQNu2MqGF+ZauyybkS+C5eYC
tvCoogd4WkpSW9JcfdGvUYqBG2QnvhT1uenlUJI/3M3vg0m6DfOeOwCLyRul1GtuKYUG04Q3WeCN
KzuRwrHNzsm4KHL0ekvvmqH/FTsKhsDMPLVw3xqLI68YfP8gAyKCRwA379nk1BtP6WYX20T9EHkr
XkkLAb+7lO5NM2e3udV8GBl2J5iHLzpw/nqcpIeRzTHxx7J5yVr3g81IdfaGxv/NTk7vANB6O2nV
bxOK979S1tZyQCkamA1TD4rvSfYZOqb6OZoNpLWWtfvOyCj5NdiQszfTMCCkjefxWTlk2DCtB793
ZAAxHkSHOY3in3Bvv5rEsUTt9dxwYOG18gTT3mJIwh5lUGaQoPIOBHapLy6r83HJU3aBabLjq5II
VgshH4bAp7B2Sou8z6XMnU3gLlWDHQ5TyL63MwkdGX85/8J/Kpvor5u6z37RcnhEeXZBG1peZsHl
ymj7Oyllr44ww9L9BKiQ9UJRE48wXRZI4LzqDlPwgsCTFUPcu+ssUDYpfvY+3IROMKzvBFVe7ojV
C+Zv087lSAgmPYynou1P4aB+pdFywTtqk8co7XOZWndJ3FHrVGzKChVeJJvSA8CtcB+WQXWRgvGf
itFCN5T6WypTd0vg961Oh6e46H7bdc4Tn8wCJwwgNB+mGoOZ8EzOHknllsmO9C4MEFFxP4yu/452
pLsxCYgsNH4YPysS0zJbkqfdsjeckC7vtOi7c4MRiskFqc92KX5LzIpPvWUzhktGQtPa+VeZElHs
mtk7sK6H4mG8r0QMzssYiRLP7zxqTMLt+Ed04fDC2eeiahd6i/yyv2jFMMoGr8fiwL8D/2kxZ8lz
F8lvWZ7ioLnzTdVt4cz5uObzkZV9yBoOKKOdkZrD/ejES3so81l+dk7bfqwu3XpXWsvyDeMvAe0/
l9ZnG9T6IbQr9OlceKgNMX6forLQt2FJi4T1vWCxk6cXbbHE8ep5/qLO4tVKZf2ZF070wLofpaHJ
+m/Cgf+mrIYlm3WruyjG0E/LBB9R5OHYbGVujz+iSfSPrpv5y/3quWVzE9btkSlonW1i47HRXVEA
oI+ccBeU+bSTbt5AuVxmecgl1iLfTqx7J9di2AouA0hyw+ucih9UCOJFJWl7SAnePfEezHv0hA7N
VfQ2otXYsFB0X1LIcls2cA8RytjPeoISUaAh2Tqh6+a7iibduhldiprbiqjrjTID21MfG8IhDeBw
A2EK+ovfcP5sAmPL4pgmmA0ZElWsHJmFUdPUgbNpaG4o78ZWim0YtPpNS1/dKAXufgPWM7YxpTLj
IyAA3gPnwkfQImG8H3Nhvw78BsEuUv3y3mOVRe8XklrkMaDOcJnP3Z3XS0LOeXrU1pajwaLW5IAo
pdQkQiN2MrpPqZjmEa2ua0go0WathDhlPog2It5ZZxGvdl+Yk4wghiprgrFP9FPUbFIL24MfedOL
6KVh+GSXEoTFbEd8E1b8RuxY+ltkaQFKNUXODV5qnp9n9mIlKtGamGo1zTkFPY33hChpSwlay93g
yb8j5fWeFcHTbFHWL11gX2QZAKST/QjGP1FPUzq471D8m2knfA7sRQvnsVMt5NhKDdFzB++Eilen
7WO1WMO7BS7m4mWKuUwNCvZOz5Z5L6Vl39tgCY+uxDNK89p5TywpQ7bxCe2LBr17g/vA/ZqrvLyY
LhpeXHe1L04YJ0hGBdkJa1BEDdLLLsuwTXYFLyW7zHnXj0wFNx76yuKeCb/hPok1to8CMK84mGAU
fNN1sU+MTovdVHaPpEWD3Q9m6e49xlCvbCDTS4FSbNtU2fy3QjbxkTgdhdoSGMxwDJhw4cag9NMi
V+89IO/DaHHrphAUuexx5dLs/C/2zms7cuTatr9yfgAaEXABnMfMRDoyaYqmzAsGWV0F7wIeX38m
2DJVbKn69n3Wi4ZaamYkkIFAxN5rzZUEImrTQ22MnkDQU1zpcIKeNYouqFs3u65lWbbs7KW4rjCj
PnXgIidW2aTYxQZkNRcWG8tJR1x21tQ3mKC9YxHLKGiHBQFJK+ytVWfMEkNjkfTw7H+iemvwEhvr
R8H+7poEs3Hfd+z+KWcqqjRG/GGO0wEhckQYOr2MbVS3xaXv/K/GIGXA4hQe3djpdqR4yAvmb3TF
KZbppFnjc6V3B2FnQtDtDBhUFc1a8gt3Ngk9TBr45dSb9bnF0XAxtMquPdd/peUqgyEERJF68wsJ
7fHWtDNOBl5KWVGGBbUyPT8biRXuoRTHAYA4KzCY6Id4qNvtgPrglLUVNZsqK1Ei+N6yi62JnGyJ
HKlzsN4aYqG/jyl+y1FhIT2UBB9eZG1/56mKOrCE6LsrHXPIP0xODIAz5mWTOhn53hkWkWtDESzv
0L6hxirZaVTxXmYYg30Y9cTB8b+L8L61pvl2JDBjA9Py2W/NT9bKnXWMMoDGueyolLz4pcaLE9Hw
GMc42rVGLnYlcIC9KTMAGXZxsKP0w+Ih96lsx8F6KRZi75ZboJ4Et6bNx7pt0js36o+hYR7ZWHWH
YbGHLwbpnVvTMj5ZRF3txcIOecLSe6iRI20mr38p4MDdjz1UOYxs80ZUIIUxb3EQjHPjFj/fvA2F
GZ+aUpjXcFB+QwrfXyqz1DT4MdkktMEo9IDJ6Uan30QkPAw1ehedNx//27b+f2lbU/3w4G/8ZzXy
ddXTD3yfZPT7X/1Djuz9DW4kLTiQ69hqUST/s3Xtk4xm07JxlOdKy6R//a/WtQUsDS88Z3kw7hRh
fmhd84E+Kml6zaYvUPT9JSSl9U6QLIEw2CZ+GmfNTFJ/YFMksx57tgX6hHVEebs0NeQHQZ3o4mHC
3FdN6q08ELIdW0OFjyr2NSexMjwbOgnPLbI1CO6Em5K6VR4oF3AIGGROuoOXGY9eTf9MxTRPgkp0
/lYSonArS5KAARnIa/qi+bPNkT+o18RRJBrhpRJ2PO1KU3HYboBKy0jg5eg4AxyRz7gPfdlPf5IU
/A5ywB2wbRTP9O8t7qm1ysJ/zHKiOazRV5MUikJyuoOX7h+Q2vnsMLv1uvjeP0yRf6e0/tlG+zae
b4E5sGGP8qp4Z6M1DSk4S2f1aTTIh52i/BWt3rAmN/+dG/t1+t/oG4zHfI6q8sf87HeG3XUkZZlS
wS91UMRb765sAaGL19XNQe0jWTZRHXEucoyDRxrkw2Dm9oFXS/jhL1+esvEySZfJRNd/5W78oISg
kdaOBaLJUw+gjTLvmsZB6V05u35ySPD966OxaXE9uE02Lo53NzPyvTEpizQ/STE62aXUxbKfXA01
vc/9x1+PJd+xBdf76UOjguJiCd8GZfjzpU1ZlMdFJpJTE085uPEYCfquaQowFVqCwp/j6bZHhX49
Erl6XHJqyUHSuu1fvmZnVa0oqFtYsllUfv4anC7VXPQIHRvsSBwj2rnduVEYPvpuTdrNry/6j3PI
EXIVcXrYvm37PdhIo++2qHSnp1ouy33l6XaH1qX/VhP9FJ/mNgGmoEqfLuivx32HZ+FeA41ypUTf
7eLkEOu69cM0yqJ0TCK3Tk/l2AxIJ/g1R6sfR1r+CFr+0likJfL5ME4Ei6ojxaou+nEsG2+3HGI/
OSXI0HfstClD1ULPV9E8Wk+/Huvdevs2FoQAbqUHdsZ5TzZLiw5pLZLD0zJDHtpViNzOeWINcvfr
cd67OdZrIq3F810WGaar+fM10QJsNaefhBRYZ2DPPCKD3cAgojk8WM5DnCScYCZSrrC/4XsIAwTC
8Z/gY97NnfVaIY6x0EkXHYV4P3fQFGdJg2IDUBx1BsoLDTJ5LJmX0JqLcxV5qLBda/6T9fztFv6I
/mBYkyXIdS0PyLIAe/DTz4nKBlFiSOMl9kLro07d4oxka76pcfgdtFWzhe+MiibZOE+R2oZjPw8n
yqrTb8R7NPprTRLHOQtL0p9W0nKIA/YcLqnxe6bsf1yd/933XFVtkITZHfjiPXYucyzOu8owjsJS
7us897beDk3u8xPl7ugewXXg8ZhTQynEo2N2oZo45xurDMNTn1X2ld/54YnAO+vGN9xW7d0hrtJd
FftqOPx6Nv1x1nqCu4nGzmFH8gdutfBL9Ov5mJwKX8wZcYYeB9Oybbvg1+O8e+qZMR5CvXVxIyiN
B+TdCpsYJjcFcc0JTNJy7yerH59SrXMF2dh5+PVY75fzt8GU8kzejg4Wr9V49uNjP3stBcEpZTmv
dLaLvHDYUcbotzmPCnkFa8485e8r2U/qs1GU0QElbvcnN3aFwzHMz9PVs+hIgfxgU8DXeXfNua4N
kycjPKp+1PNJvUlKOn+y6lPU18s9cGzx6qyx5UnSF7SR6ziN+O+Z9jYuANCrFu7OmcL4fEdMABBI
ziO13jYAXpKtmRUIE+KWABzi1T8suRV+H8gje/bmfLmQfwP4xW+0+6AaOFxm4TlXAwIKyJDFaH5w
wGc8uHEtjp305HVc2oSjizoxHukwLffUQ62e7ls83BZadC85Z8ZXhGrhBZQ5mZLUBcPvhWc49bks
GjIdShJyjuQhoh9MEedSylF63SNUmU1NBF7PS+yH8islWetptN6KB5S1IcgSsP09Hzp73BXdRJG/
pX52iSyebNthaZF6SF77mMW7aiPnO4YozyQNj20jKmLhRdsx8aHPidi1DyOio5Yj3tT+5qneDEpK
n5896lzeB2I3mG88/VG2z6qVE0vxx7j3aCuvVoBefV4Ia6P+4EcXtf5tiz6bBEzHsmEwrdQgleTG
I379+cJ7Jn9umnm8fbu9IUykwCxjcV9bJN6eq0Xl1Ntl5FpnUxTxJYv8Ajv1sqoHEMCyWvVyvtL0
ONXWk5PxpaxAjyJ3ojOyzXO5HFEYce9mx0sIlBcihrKa2B97TdVxawIFubMyFCjkXPA5I1KEi9uR
b0diXPKqhT+Wm1DrOTr4xJmjxHJ4KRCsaD155UDF1DC5t4VlJq95VJh7ST/wBXeEkSNMb3NNpblY
7p0RfwYBunq6E0Mz3SYzrO+dsmXyJXc7libs9M9yFnYeWOs8LCBMnD3AnhSugb8ku4X+AT6/olr2
5ZAzl1TRLZdonFHnhBy95k1H5eSejiJ+x6Vgn9PHLZyElAvAvJRiJd+2TLCA4L36JR4jgUXQY/Y6
mT3d6TCeqmMfc2Kg3GM8umTQrBmc9nyhHpeeMy8P/AV/yaTt6bYy8mbfpZjUYFZWQdOG4GKNSpOS
HtPD93R5hefPBi+WJ/RZW3GRVrmc+0a4R0s54WPUqaCy1xhNt8wuqHmzbRg66rZY1CFLFrD5ZTgd
gAZYnz2SQTc1tQVBkwx1bm/R0J0WvDImFAW31Ht/Io8OZgVIau4qfuhkuE0oU55T6e/jmIAgIp6q
MzZTTIJGD0ME0zeCVC4rzzy9RfWS7+aBup7ZgsfsHPuzxip5Iarzlp49/OnBmnbD7NkI+01r7zTJ
kxu6RTC3tXlFjPSWZoqzrbtyPGR+IbbZArA3XoQLVp6ucOLHH9p4fvVr86XujRZ9GKysmQRneiGD
eYId/KlZw/A21Cjp000eb7W+Nr8Uln1eIJUi0UluYjfB8W67j8MQXlUlKJqOWlIQ2/N0jvOCBdhe
90gof27cxLLoOLfNvQTrdjYGav3L4l7TZp+9emMXqSLmc11EovYbWUn1cZYVFcwyHEJa5JGVniX0
XLkJjUhd907OF6pywGHYlMzliZ6JtZ/GHJoBqC3/qpOyuWWjZMe70V39nhTzn3Q9R084bcaHuXLY
P1RtTS2vRo55yRQlsLDAKG9nnfdbWiT6NAHmOsWNXzAou+gLadofPGccUYAjcLWWvg/W9w/5PnQ6
4y3Mo+Ku7fCyKJ60/ITTlq2AmVWQb2b2Ihn94zIr3XbrCpWwFKE2jWwAQhsV+epYpxx9euYfLaq5
3PuLwKIxDjiRdG0Wt63onlW+NDuJP/TGbhaPSiJRvemuc8E77LHikiyEOm5fppmzEivavav66GOH
3f/K6ilJJyFEorEXpJdSmf9ipRPwUKc0W0CNrJOn0tfxmVgbiqzm6LXHZSiYmCl7B44IuXGfz1oF
xaw/laR+7kXRDZ97m7ZYZ0+EQ7mlNB/RSaqP04ix/iCchCZcTxsgrHr2Y+XUHGvaGDeT0bj3gAdA
5lZVvTW6Rh05QftH0AUmnTzZ62+16XlBjczi3HTWRRW2uPihHlGY+fIa+1PJFqZUZIbm/j2h4iGt
M2BOHP7T2KZMoeWjkRhUHzo0OPyoZK86BLzxEiZmrDQG++uECOdeIa44UeRvUZc35s5zmQI0iElf
DSPnMCoj37skywSk2NpPGVnDd1HXWoSZyvQUpo154Q4mQNGHbTOE8jCgyTkbfnlxKR9sw8I37xCt
OEdMadY16AE4O/XiPIROI3eFN1aHXEB2y5fWe6EcXMKuV812aMfE2npdRc09C521JFuaJBOP2A+i
NoyeSzFZN73wqluxhGz7fQsFTd0aaRnQuaqoK6ZDfsizUn12MpciTtVEV5PheKilQzs/zYY/f+s4
jl/Dn+nvOxsRPdpbHyc4Nmze6UhD9GqocW44sRPCQQIFBwBZnXM5dzxdXX0Z0yK/q12nu/Ug2B6t
hgL0NvEpllPTPAGbhKknQ++qaqbwkvYkYdjRULxmJaa/IEOQ+NGOnGbvumn23XeKJNzWCicxoaXU
ktJcP6u2/lLw0YFuKlxvvrOYeN/CZXgROOnI3DVa4xTVPXtZTwoopTGqOzsls1mGc7IVFSZy2Hro
382vIxSfXdLXaLYQGLRBCZz+guu0elWyHM4Lncud5/MOxDe0HGZ03zv8ot2dFEP7muqMNbvJeWuw
COgs6raDrZrMeepEX6r2q4utxN4IGzXp9xj9KnAYIC882F3JMakzvjduXF4mpzbR1jr9kxGFwyvC
Ne9z1PvUf9dg6Hw3icXDr+UQdYgOjopIeTRcBNrYhP0IBtbwce6IkRJwCneGt0q502Y13K76bnZR
+PTNWe26VfhtgfkmDTCfLL5VNx3tMhUXe0Qtkmcj7wwcmNDI8r53XXaXVdwjXWnQ4qEcP0tNlPUO
gW/FcjYv0YNHK2LeEmfQn6Bo8RqRVIeYl5jJaFEvxiMiN7H3s4rfjZfCwUK2eK6XpP9aczZaTX10
AYyCu6C95EtorlOZipK4xKo2y40y9XR0hRU+z45pvRhmbXw3IRZchx7hsk650Oet+NjJnvwnWSbD
xlwV+OGqxcd55yPETJ7YGIfIrl1BolnzwbWeqe5jxFjF/CGqfqMvoEkj8xee8UHRkENvUi5bUn72
6PPdjV6tAWS+FQhoYsqdKqZHUiIM8DhjkzaFowCa5muWm3G5NVa/Qb86D2Y3OpIAY+57DAkdocMH
zvL2tlndChkJnmvD82y20IJkgqSowNPgRX60dTzT2KmQ6SzSSV7NDraQRRL2yAfHVe8dzBnHTbE6
JBDtTg+NCxHGRJl6Scvhu1HjjmsWTALuMJjnhMJuQAN0Oid6zo++oDxgTgOop1r3hxrhzys8Gh9V
ts1bh43QmRRsO4Bl3+yLsSNasJvS60wCrXUjdvNsuFBITy7ty+l2dIVEzz+5R0c38VYUA/q+pt7l
PVpLk63g3SQB4HZ5SthM137rVsNJbVTLQbrJGuvuAx4zir1eTSrQWRCl4tcjkfyevM+XxLWRPaFv
Fb1/Q/D1uTCaz2OxgOgJz6R+PdU6vLDkUjBaLTGuXr6nTfQM7faDwjNTs5veogp68UVCOE9GkVJ1
/itFqRb50xqeY0jnCTeNBjFlvk6rLSc3Ihb52DzlLmELBBXs077GOK9gIePsKVaLj/nm9nGAqwfR
agNarOXrhDfITXtYCchERzQbc/RRkH2Dtk572RnsxICGDxXw6jGSSzA0ySeaR+2x7+Jrp3kSKO7h
WTR+EGNOUqtLSY1+ttXN0H8yTO0F0wgfZOAMc41zxDhihl8f81mcHStRn9zWLvFBNq6HFHPUp6Rx
KY+O6XqcUH48HSpy+gIYf4jRQGUs193gGHqP7PSDY7ro2lxMn2eDfJMZC7PfeuJgDuZoXWHabtuU
QONhustNvX6e2WTpC1ofd6RwAeIEplTHjAaui2uZqqadgn9OcwnKivAihDDOeFRWr4ybjtTBhP5b
lcI19Cmauu3IkTPzoSL3ZvjZi7Lwexu6PICMSovBwbqv2YpwkNqZXsWxKGLa97uK5YU609rTmKs+
/NxHHBBCojn2ZWU6xHUv003DO+7Za8L5YpApsjUTZaAgb1xxkxpOMgSdP3Ps6BXL0ggHCkb+ejqR
yTR8SxdzvE3dWV4LmeFVieAYxdkYfgY4SZE7spX8IFunC9CccBLBOCxeq2p0nUsXD+uR1++IDImd
uv2IHJitQ2644lBLS5/Y2/PRYKUNkuY5oOMqhgyjpOJ8NbrdFzcvzF2i2f6BxqvvHL1sMzmUp7LG
pbvwyj+ZWcuLFGMW/XuHogChWxevV9QI1k7N23hDbRvBDPDgFLoocDgnkPOq7OLT27/iI+j/IFyO
/ZVK/QOA3eUINRGxS9FxBpu0SZXAs8bbcWHbY3DYpNezlC4hO9xMcricjYi7Zv9WKK5z1JfmVHm7
PqNunBfojjZJEvsHw+crgqoFmrx05cEtnPZjlXRcQJLyiawjy31L4eXOSXL5qUDxztY+E3zncdIn
jRbpLpvY7y5GLI5L1i+XqZ7nbjsJrssuqIXXDse+ZojrauvMaXNgq8bZvkf3qXdDtiYvJAtVEYqX
LAa95HQiiFir7MFpTlkoioL5Lxbj2q+i+oXiX3IQWUpF0VuufK1bOtS531GSIdItRsqGJqjLxtG+
zptO3DhwDFBjL3TIMHtc5eGSoS9k3hlJueyHlF/AWrr8mahvMFJdi452mIz1+8VECBs04CmKcMy6
z/v1nuQ9XTbJP/JbTchlB24bRcqtLevlYpayPFRrKQ4O53JRc0hibD56GNeSZe/azIDOxtC38Yf1
A3NsC5HpG4GP0HJX52ApOlV7u6lU4lMh+BOM8/qkyvX/rTrulnQnJqy01HwZ+KAALonv7JrREJ9i
6UAgzzpSe5KWeY/BTl5LRZ2VlHQO/JKk4u8L3uCrIWU2WQsfmk5G9UIpsbQItTeHp85cWW9yDM8D
rNSXMBZEGoBoqTdGzCNsWz29ybELzyF+iJdMtbBMmskAi9oOucDsnofyA4cDrhA9JeWvED0mO2As
95gGEvOac4v+2Pnr7S1Enp37its0tJX5YcSLwk6LL262WfxbsRT1S+MlDD317XDOuzk8dZRci03v
gSlbAFdGgopc1/B3vk6yKxbf195p0ejLhKNHV38theeTVIzksB1A7ouOX6dDgPmRKIVhG/azT8Wi
xC6nhy6IKne+WJTAL3UxhJ/1CIJpu7iLvMojU96WWIDPTm7xzTtOPs6uZDk8CMuh+EFb1EPjwywY
0eNcO7VDScEB47jNsC5o9Fk9s0Qt4jUSaf1CK9KoQBvUPNOVdsJdxekUcA3rI5Lk8hABBn0EJhl+
V2HNBfvdOge1IKRGYTg6w0YpiNsg6J5gLcKdlKc49nluPHzzXM7J6JLl9KmtkunLNHh0oVo25JpS
Kvq+mG0Fb8Y6ba5lO5Q3sPX7R1Rr3m/1YIffEzRa58GJ0UBEI28mOxnR7DtqxoBJkvBp8Jvwc+rC
NtzgUNHhTiGJHnZ5nVTz7+Xn/2LX/gS7ZpLYRFn6Pwsdbr6N/3P5NiVfqx9N+n//s78rHaRAtCBA
QawZl65Ld/ufSgeAan9bu1Gk65i/c9n+pXRQ/JEFfJA6/D+s/f9Ar8m/WUDZXOIy6SeDnvb+CnrN
edfDEAR5InPA9+vQdfPxGv9c7m9SlsIxKtNr5NzJ/GIj58FXbauO9JQYM5mPsFBTMjgmEAQL41SZ
KBc0Z0fCVqoxEQdQhfNv2op6MBMCmdX05uKYSld9a3SOz9FVbDObIwLWN89Hlo+z/WCQEr76QYbf
7SG5KtGxC1yTygmyBT2jfysSo1P3Q9UP0gpqBFn1/GABF+tI6Ro68Tm3RmLDNottIERfnfBw+BNw
r9vJU9BLh8JZo8iihbzi+BoCY1N7D7GpUKjh86erYwYS2fKi8emjyHhsPcuVgZfaVi4+Alrqlv5Q
1oNnFttWFKW4SmSSQbgVzVcEp3qvmnq+c8y8xJU5jwjHADIZy5e6pAz1e8fwvw/gnzyAtEnX+fif
H8DLS1J++/HZ+/tf/P3Zc8mptVzHhoRBg44XAJP/X4GMMP3ohwKpUBwcabn9I+dW/c1GoMkOmWwP
b4XH/5OPYfMoO4rcXHQcPDar/ugv8DHed/Vo57Ek8Dk0g6EergmUPzXafMu2sBsh4QkDABHOfAHX
+8Pd+DdSlz8OgcoKMj3nN74yUqafh6CHu57O/OU4wGRH/wcaHW+Syy395z3//xhl/RY/iBKIl59Q
IzKKKr+0xpdq+tY5f00dhCrg5wt5J+7Aa2RTO2OIfrlX4h6/QrO8/voq1o/4seEIJMUXynFRkfkS
3sa7IVywZPgQPY26ETDwgNuZ2nN1XxTNwYlpSvx6tD/8Mm+jESAjPNRv7ntxBbbVCcWn0se5ijgc
0J/bJIWagjyq891fHwqZE+8Sx8S0+L6TKlq3nthNcmEosR+n1CaUIx3kRXR/GuT2Xtqw3kNJO4bz
Ae5+Ijp/ngkyc8ScWwxV6rK/zvIuO7o6RbE5LZgmoqk4EIY+/9W5waCm5F2NlBB+5/tBnSQknrlK
MNNk3EWTGujGBTlONZP/+PWtfC8fWa/PNJGOrDIj13bfNaUzy6iRvhv6WMyxRaBMCETXaLz0lJmg
HvNcN3f1LOHH5Et86fNp+pPx1+f1/Rw12RYg4/DWpend8zxHdh2LLML7VRhTgOVtDTYen359ketF
vB/EMpmYq55KoDn4+UecJMGgnW/qY9c18qDGeCVVKCu8yU2xHJfZxO7e+1NQaSCPvx76380fi3wP
JJ6sWaRq/Dw025NJRqaljyA2ZmqfTodF3wAZrwyRN9gSOEjPcRcGvx6WPdkfn36JVI6LNXkpwC16
d2dXeHgaDY0+IoPWX8l6FWPAZhw8y8iq44RZ/gHHASeXvOd43AoQ4OioA5dq42GehvGQ1Fo/mzHR
CPhH2nSHjezedMC37KgDjdc+5h4qc1rsrI5cP2IVwgewaVQ+VAGCZF7bWCpV6RURVrS2Kwr1Xo0J
2GuDvJLDsccVAM0yFlSBMGzgZY0veV3Pm6zpIXEk5Aa5uucoLnJ1hQHaRZuhSiqNzhxfRGO4nJ3W
rB1BUzI2nOGqi4qeiTp1OdG9WX/d+8XyRFpFvovrGFyBar66ZqHQ+WAsxQ807Fo8SwfbbK9xMnVP
pGva92PYy4NBvyioLJ1SYhCk9fTS3rcZa6iaaomtKCuC1IJrwSI0fLBUx4dwGLtWSzoH1eIRkzLM
rcR7Sdx2RWEex38f34fpMH71u2K+Hxarp86K52CrsCIfcFtjEnTDT6SCaJK+aNQ/IQxyrN24yG9a
TyTmIWHpvkMwmTCGpHn37JuJFyOB7Oz7YRB80HqDUVBeQOPQHUMTQeDQ7LhYIsLuOnfpMWwSOyqC
0CkJBeb7ZWx5sQr30FJu0sj+1rWA7Ma5639Ll+nJXsxvfuk7nyfTibZ2bySfOiA3JzHTdN3omAep
HO1vazXK38RjswBOZ8VIEdYQXhwu3TMWHZuIWL5HOqnsXPhO+5ysUz+Ht3FVeH3MaXgMAyzs8HRB
SNyPcFlOuFiHna9rvYcagl+YhEAaMuSVkEgwh4FHggRFsNyLzg4N8yOFTAYwF7KVmxQzT+FlZIWk
w0NWLf0Dgcz8y9pvmRheAlE+Agko8jA7IymzN7ZR9cGAauvWw8wNSsWSOP/oo+5Mtk033Qi05JQi
kdgTC40De2oSGW57TSUCgmqEMAZKVVr22QRMK3FuzVymhziKxEHaOnwNFWcoZokR3pgwlcJtFiMn
2YDHBHpBk+12jrUJYGF2t9MS2ee51s11Y6yFRdgvJ9ev3bvQsIwDNEfrTskiuh5t5zksGmoT4DZX
3sQgUD5Q/D81GrNT30/5RIBZHL52qH8wD45Vt7GM3jhUSDG+22nmfae11G1boyW6QUn/NfYF9pK+
ge0Ed00ERtv59GL99X6EIoODuUy/5egk0m07EGQbR+iEZCvnY0G662qLtR+p2y1BOHtyYDBHHgiu
1AcHluwnzwwH6K1OfC+KRhyHhNTcnd1PlNRUMtAkpcP4VWLzPjdFX9z01jS+aMsqLzCL/Fv4rtYj
BTj0HDBwjWBqpIPBLJrvyGzFLlpr7y5NdPlCZtB4r+d5upvSuLuZ2oYQ34lSVtv4zlVWUwGVDaY3
0inchxry6K5DmHmkuoWf1REmAzRyXbxyM+zu9SJUuVlEmJErgqlwh/auAhM9iu924oIVi/MqfoDZ
kP7mLG57xNvTBplRtAemBsIhjqX7eq5hR1RjVOwAyhApwp4Ltyg+tnx0wZzGVRM/LlRbsCoNwDF5
aGJ3l/oE4CDnWfAgDtGjKavlPGdzc0Xffo1bDJNmm7qlAOxQpP6JE56zBwfhosaJ/JPT+tQnqeMF
Nbikg46zBL+4azEn6NBRYiZhIhCz1qffK7pxA/YfaqNB5mMfwk0Wub8dwo77MFVscEwqlHclm4DX
semIWqqG7D7HSHWIU0HIG6vAlyTxl6AalDp2EGS/KUHh00TxefVWrxyrJMfFjsDxpSVE5RWqMWKf
nLrZ95Zws+e5nRBO4bHGfUsBzSxd5wFKMhX9CTnSZnHUWoHGTQBziFA+L6MUxBxeuLu4vWwZraqI
dUh0N3Q16IAMW+hp1M2sfG1qZV37UU2Qlqg78a/a2jICwDPz5a2UjhnP/EBHlrKTHVfPQ1IUh87v
ywPV8DBIFrzpqSGK7djQQhTTWmir+hcg8t0Jb7/HUbxPHaILM1Ij4PGweOrhxqfhS6U4doxASz8h
tRDsrTS6yCd7CJhJRV8daxyNgJOGwgTKyhuKc9pK6nCqcrGq0Z9ejh1HeDop2KWOfkKZXoJ4/vSm
kkpguBSbNyuFU3sl+xmXwuFSA92CsEJ9dVq8lsQQiskAM43HOnGRUxsTP71nLVgdFC2InuDj396q
sdlaKS6061yFkvTcyG2xEDQRDNiG/eaBg6g+WbWRPY9ENh3KsqEH0LiwuGxNbEZHVR/eFb2b9WUH
fwJ6eUofY3TptFiSsmXlI4WI6efcWXq2X2SBN76smeBAWAlnZ0bj2LW7AO1G+S3lHX5Cc0XxInOX
ZyZSdOfGRkQYZ+8/lCkSCkLYqULrujx42nI/dZxFCS5PzPA6H0u24m9VVzM0pruOCLL7xRDDt6EM
jadC1SHdExxxO48svN9/pwxO3/dZ8GUn2xr3wq7lDb0I4zEKMxYZa+3qwxIIDAesSdm33r1fDdPe
EL3zkWgx+yMmdPsjLvH5hjeVu4+b2NjNSWLsqOvTvwvD6rJEhv5QxUUZmBrknJFZ083bXe8cVHEV
SI1bAG97UUI88XWbXjka/VJTEa5S9uCdKybifnIqcaXQLwSln3anYu4oITUFmbZa2DzEygfTRg37
NvRkdEJuh+ThbS4vnkRha9iYIylOXC1eMt2otgwDJATRVtqwoIHElNmtaMAJuHR1P/khSO8uRNa+
IdbG3EGO5edfMAvh9qPa39B8ikbfKraIhGOWQLm2BJAbZvN0w6Iwn8w6LG8Jf1p2SeVQFENtRhQq
uloHJtOYBguhPDS8Mv869wkw7zOV3oKUgYtr0XiysepfIfqDoq9Genq6nm4b1fLqVjHpCaqpaAsA
NlTZzpR6hdRI8pV4Nw0nEFhYH8H2ID7p8pJEOlVWjz0q8H3PgsMeCDHGlbTN7rahZUfL0R1wJNE8
mUdJCAn6zT1WG4Pcpaw0HoE9UN2GesGO2Sa5Ox/owOEd5dHsnHq14a6+CG8gyRggLx0AWebPgjZn
UNR0hSw/ka9vQkS7QFxmj6N4namQQrVIKmtj2KteF8VWgJ/fRGGC1lZnSp3d0Z4Dj4T2E3Ra2hRk
yCNSLXwXfm43oKLdlK213AtIezGE45y+Tcg/PNpGE3Ubn67KdU8w2TbkX71LLZjHm2ppwiOhUPYh
EdZyAl7s4nxODusV3ap4Mrc0HuIbuSQmhM2keCA9TQfoxspgqWPjwNm+w9/uzOaXmajVlHdD82AN
FkL1LDGuUKvc9eRBbCro+dsxNb55cGjIiCM0qUeGkqdzeM1lZLscAyQbuoiCo+fpMQCrZR7AlAx0
18LuCuGtRprdCBWwQ4wRiTjFtotn+DxJtQWxU3wl3/Ir/bbbyWytvTmNxbpva06wpeERLMkjhItl
i+M/OrJaHbgRwxYzSLmL0NChQfE+GcACoO8jK9skbRPuvDHC0G3R7Bdeh77Nqe0gVzXXC8fcZlcF
YJIVG3lOHV7qEtxVNkRlALEMV0UFk/Cw1ne/RP3gHLNJIrOd+2mABbJUDzWetAWmuWgQsprxVZy6
9V1ZZvUnI8rKDW/1ArJ0jRBmUKizJRLVXe4RWdMP83I2Ex/sZh73RyPOHEQ5UWPfEfm03KUY6h/q
aIUZ0b9GezNpMrqI/QkmRXpXqOP4QH5Suh+ajGqcyJMzRnli62TXvPp6Ka6kb1j0VHPH17uxiqwR
eQY0meyqLV/Z3svPE8fxCySWTmy16VT3Q5NC3DCrfrwLFxht3UyHNzXidt95yBHNoiB7b3UyQ9XT
/Io72N2vdmw3/0fdmSzHjaTZ+lXaeo80zINZ910EYgCDY4iTxA2MoijMk2NwAE9/P7Cy+krBMLJU
vbqLzKyslOTE4A73/z/nO9If4nm6NrUuPZRWV22py4tvtmB/tRq1WL+aCDv9RtyFs88g3D+GkwM0
til740FdvpC2VtS0m904GMuyP48T17yMi7Z7JJnBCsaukfvcioZzqUzZS0dQJQpWmA2rqu/Cm8Gp
ix9F66j+YGvmM0KGCqcyqRp7jZzsC9FxArfx6tFoBE3CWbc1+w1OePPeKEGIoa0DygWAKb6qlOk1
Gxz3q145JYK62SU8PZ/BjeQpSBH4buzxZj6FcYFaqldGOE2TYCVL8xRw25CTnumoPF6+tvuJUwUW
DmNekfS+jsh1XIMhv1NyNCFlR0GLVR53NOCA0kMzkmn1ozBSyJA2PVUUW05DHAI7413l2cVdlRXV
RTfn+pkQqKfYzxdoE6G7Z7XbK4HRSqUIOC7ZyuvU5ag1pbDOtN52H6BilivOne6OU4xcAboK7+lE
dmSGOfkNW8X0edSM6j5tsuZr3dejg20eCvoK4kCSAS62QmuVZWxpTKUrD6ahwap46w9mwtaHVU+r
ZT/o/WskXfQzVHYvRs8tzw12ti9lDYFnAlu6tpXsaq4WSmBrQIHrkPv6KDKqi2yAcoR1oe6A77nR
FVFn9ooWT9puXNdqENuSVNWKVP/C/P/RleCKer5pgAscPUOp1M17r8JunmFkXJsY+x5G0YKTmkAt
amWBebw2qu+UwZ7MtJVPKJJv5x4t9dah57lWaHcSSzazsteKQeJWn99ChybqBm22+GKp5GL5IdmL
dtyr23kAT4qU2CQ1oDJ3cWw7F3pm0+DMRE9cWuFxNk316DvtX1pSrIQry1CIaolG546jDt8T3AFP
YeGopCF6jzCq5Llaa/qOPwXA0Nh0t2Zi/iCQEQIVRa3v0RwO2yGTZFm1xpReet4sd4NwuGOV68JG
TUdBfYWbYoTOozPE5l0yVOSu9AkTlujilSzZU02x7W0tkgs7I9ZvOIM8sCBn16AlYdkh7151srM3
dV6Gz5WXzSQuAjxQGiO9sscQEZ2lcIrRSXMLxhYiZjTI8ktJvgo7XIV6c9Gdde5UHMJEsW+cBrat
ndr6lRYPxk8tIkisSmW9ET2clLCM++vSor9FtrV1a9bIinERzKHSf0tLwlViMGAFy+1mqBfcSTeq
hzDs7SCXOHoqcrd302Dktx0r7grsY73xvEHdibwnH28OV6Oj2nsjqqZdJ8VT7JVOkEYxXyw2gnsW
UiUoDG+4YCvn7IECRFdt1GTsf6vyZw/BCcZJV383MN58a92uR4EX4fL4XgGgVs+1ug/PXRlCWVPQ
u5uwee4gOI0T+ZC0SwnxFBGohLJpRhgYsE22DYBkjmaxQNo2ifyuLLwSCeDk7eJkcdJRwrrDgvA6
jgj81ZmtimgMsVdn+eJYnBqsnF4emyoOSQ1qvllDulIknkasixYoiEL3zH/rq1PYDwVqVt8Mqyhg
V5ivKXe8tHqCikqdQiSGfF8nKaGJ2c8OR5AxnS8soR7YQ0FLcigTKb2rvZheLs/NyoKn1RgLtwcS
WhRqwQAb5CeIKevGUhX90I7ezwbo3UPE1LsH3C7itdVWDdoUMRLW62rkPZZWtVPJ1iaspynXdhcN
KxdD0CcmwfdVUNCxpsoHmhI30Qm0vn7t5BgtKHWAuiIgZTHfa8VwbyP5CiKb063nUMj/uO56qgmC
Ux9zG8h5963Z/utwkWhUDUEew7WdddfozY4TACEloaN+0m5552pbKveGh/eabTgdF/W4sjzPfxe1
7bmXL+1bkX4K+x8jLLyV0uYahiUEZ7Y7q89gOjlRSupxH1/uqeo9edP0u00DE/i77oFjdLTaVYEx
JjIPFjkyl3VEnfTjUU7dVB7hUsNWaXwe29tNTGHgYOnBvLVDBoCIyPshTmlmWn/y/E5dkIlyB5gT
pTlcwr+/LtnYl+R/STpLsiHPSFZPtls9fXw5n41x1FJKrE63ma0iwMVwOdtiZ7rFZ5bT5eEfdzx4
/wjO4lW0nHcvh5e6UuidCGo+YJdRr+p7uNpUyweZfI0VWi1oBNXrSFBrJftDJS2XvJaPr/P91CPX
0qKOyvzzOL8cNSBMwESGUnkNUaIoIToA577UsuYiV1Kkd7VXrj8e7/19XXI0Xc9jMUVj8hbd8EvT
tmFv5U647oKiHFml7OlAqJbzyXry/l1ERrGEClLf0VGqH7WSvEhDX5HlTZB0EYFndZX4mHounJSC
5seXc2IkLsK1HAJiMBY6R6+J1yZQuya3CljakA0q7TlJw3e1SB8+HufEY9IcUwdOYy1tYnPpYP1y
2+y6yAxPOFUALH0j8mfFzf00KxfF4/7jkd4nD7rEHP4y1FGzkYOqvVin8OoNHtW70oxWhXQ6/One
gCdyKOf7yaIxjbQoFOvGpMSnCkRhNvvWTTfr3SalBbTTW87SBdyoguoxikvLTUmoMEacHjKeL8Oc
zaDZQNN/UwSzueo2ud6lYBaHfLySVU8Za8I473PWJujLTuZPLtTU3k0/WpkU91UmgIZ57GhtzsFr
GR60cjywcffoobW50gBwTbadPBdz7+z7PKeJkiMFBDYB3g7oWzbaZzbGvITQB19r6gw1/30Rsjvq
7BifTQHukzD6kNMl6SLNps0kRYfEcPB3ptAxI1khkhx0Z6+kSu+P6J4CGlxy3XWYZBknXXOOdy4y
Ey1DCuLVH1mvgdxKH6bWuDZZYLyNG+lEJxGXrn53FmXlx2/AiXdNB6iBgoNvFt/9o3ctLIaGNuzE
fUmV9mLQPOOMpz6CyYTpuhrhnAcfD/i+82sYMAJMCwsdCJ3jzi+moGGQdVEFntuRFgeBcNNEoruw
jbrbhW7UXcTUX+5I/YvOPx75xPSlrY0+Dts5Zu/j6SuiaVDi3gYunEzTV9IotKeGou8dmrX09eOh
TlwkXV5WIw48/HXcQ6c5wqZz6sugGASlURxVgpoNKeZ4vcSZ3WaJ67d02aaV1KncfTz4ietkX2XY
NMSWyNVj9oNDqAZnz7IM2rBKdo0s76IFtuCmk/jke/J+JHNZpDQc9ABRYOf/vlBxEGwjnNt5gOfv
cZpKudZd6PEiN4w/fk3ZbiCYQhiFDOMdsKEGd9tHQ5/TXOyJXrepvhjptZSWveX0+eNPb6CpLmgw
dI8gUKzjzxa5OnVJljmXZRVGgJ9+CYwgsM9vcyP7DCnzfgIyGFsbtgYWXa3jz1dDgziG3MyVKeZd
bCiP+EN/pKNxhyL3kz3IMpd/34IwFPocm0tjzX/DIfzyXSngpk2lQjcWX/DGoGDikRCwIsBgJnER
Ox045U9ekNMjAuBCxrZMuuPPi1k7LkSALGi0YZ959XM1aXeGyBrk9nYO7la/+PNHx8YbqAO7DkY8
eiMtcEfY350sUPp+P+VDANz8OrHVT4Z5v7ExVQtkBGQxCC/6sbJqcNUxSfijg0HRFyIDgXf1yBfx
44t5v4owCqFWSGd11X5HycCiNpZpqmWBMDjWctxD1N3/dEr7kILx9Ini8I2p+mSV1N9/KRmVhQOD
iQUa5ZiNEhYzFpwYVZWHtnUlc4+zeFkTsgHPUyF6lU5WO3n4fHCsZrFPpGxN7Vt1dt3YRGc5zSQg
w87dPFnNF5Tw4D3qms3Bsi1oFhcQ2hj73tOhrGDJtT756U8+GMg7vHEapr3jB0NfMiaQhalLiarc
pJOX7pWRYsfHD+bUuofhlDUPTh2qwaMtZ2E2fEaiKkdv7JCsVw2Bmml3rtN9tms5MWEtz2Zvyzpk
c4b9fX21HEC9dVOyEI21QTc7jM9GQn62H1/NqRXIZgsA/4RDOffu91FmuGFj1CsZCgIsZYPDZwoH
LqaWNv+OYebPd9GcGZGJ8slYIGXHJ1TgEzZpoEzRKQt/LPdOJPahEOHjx1d1avJAELcdJLkcDI5f
47HNQNZWTJ48sdybbNKos4fWDyqu1VZElvsicxBXqFjaTz5Vp9Y8hKQm+2okg+8OPdRP1NgwhyyI
CLXtSgULU7St04c6nW9Zrj8Z7dQLz7EH8rDJyfKdWhAaCToy2AEB/OJsV9iWc5A6tuiPb+Y7YBIA
MpWb6Oh8jgxkzkfrqtfrY29RdwvcXqoPSaxWWwXF8SpMjSGnQO/Ie9DJMOirbrhupjK7snLH2MUu
wi5Ix4R3ReTGaQ2QBwxSNGX7Pv3sdKudvPMOJ2xmJjDB442PCFvVkkXB12Y0qRV2zbPWeRUhW257
ljjuYz9SnXDqmEpmaSQPmRzas9CrnmLaurO92J9lYZ5RRfJWyOwX6DPX8fGNPDHXaGyxBXUcA7jH
8Qcxd/gZkpHttiznH/WsdVt1SWAIc5rY0/PHY524HUBdmdjkEaKUPd7G6OBfVBMcQTCH2g+VgsO6
sNTndsrLwPHKFJek3X2ywzgx6TSNsj07Gr5Y77bYg8inEZgxl5daX+MkAodD655ipphXBvbo+0bI
Zk1Ldgj+/FoB13lLRYoN4vFKaSoemiOSWALOaleYbAXy3PyALDnCWh49TK4VfbK1OfUkubWUAXSN
0+8xkZC5ggvbbKpAUaPGhyVMa5Jkw4OEOhIUNgfpj6/wxDeHC2QPZfBhY7N4NAOLUJhxUnFrxyFC
wm0KuVabCoQ6srh/ZygP/ISLlQjR3dEHoXbMpCtKjmiaV5U3hHVjl3Y6+zzpNe2T5evUO2owoRYf
wiJ5PvqSDuhiypnKQNAW/R1YnVfLau7ylueXRM3BhSrxx4cjFjBMFzokQHTkxxNQg95ekYNSBrO+
ZNY58ovoxbqmDvDJQCcWZrTFWK8MKs/YOJbn+ctmu56xy6ohR8A8sh6jcdy5c3P3ySthvN8f/DbG
0TvhKSnZoSZjoOrVViT/1nsYUdYXvbehOOWy5S6qeBOlqMH9pdF9JQX5yGDmdz3RvxT/eiRRJRGM
lTkigyG9BWIKOILEAE09m2Z80Inc8csJi2RYq+WuaFFocLolknGIwrPYclFrqyNuYW3BiZGGrH2Z
vQLFRakBtCH8UuzUoQkJ3kE/dk3gL7tDciixFCfiOh6deKeJdjrLLXRagxEXl4MiBnj93l1SZa3P
Hc62BbUisYpRCwUolAqQ3XO9CfvYQjGYyYvKNEiHS9J++/HtPfVu8hV3NN4TbFnH6yfsoaabbN5N
tILPzdg9u3F9bRrK1igqXO2k3H883qkZzp6bzR7le5TxR3OBxLCyMaKpDIh8X2pOV1LPzmBof7J5
fe8vWJDDKPzZm1Cm846GgfgTG2L0ygAl6YHEH4FwyH1psns6UZd0pf3e0p8iUX5yZDJOj0uVljvK
4fp4Q+bVcOhqaVETqaaZlCEVl5AwlQNqd5WcsNzjjNNYBUCQjDDavEQpBFWGhbzRhzMLqa+VSuXM
UHtlq3UmqaGow3jh6h3GD9pYXvrd0giylyN6IJhQ0drrNJvaizOviUS91UmD9N3ZalZYj0n/7Gb8
sSk/D+yV+hXht3aTvoWgj3hgcXTx/xez5cdtl24c4CEPjWF99ihOPXEbAjSYacoMeC1/XyMStbWK
MhvKAILfRHdpNUl1l2nEx338Zp1ai34Z53hjNNRDkVdw5wLXWhK3qTf4RRxvPh7k1AfRBpdJX4F+
G1jg3y9GbfS6auCmBTSdXH9aPMOq/lgRMLeKCXP7NwajXsmZZTGXHh8ibMFiVObMFSW2SV+GXAJu
a4sMDEFll3xy+04tBDZlf74WWPbebX7zaTJsQjjLQKTiAJHQJsJkeqxy8dolmLdi+5M7qZ16LxxO
SRxg8VI5x32aua1z7i/7tHTMwfnMurZ3ZyHPiGQgvt1Q4sCsG5ALtWd8SdQwDqYIZXNUJeWlG7nZ
1qvM6d7BF4BGO4xgxn1880/+eCyIlJGo33rHC6Mcw1bJYrY5sqlfDS96iPXhNjdoJv8b4zguJ0WO
v4tv5vc3qiWcL64R5QScRGuqOd1zOSlyXfXikw/pqW3rwpamxLL8zTmahwZhJ1aIACvoEI7HLTo3
WR5IHNunrnadV81dkXufFCpOzZZfhjzesKazmSPUUckXk+Mu6qtXz8xRuNp7UQ2fnDmMU+/vQsKn
Fg3vnlrS7/exk65Zz6NTsMzo01MXk1ySeLYPi8olrRWi6QLo8AtWZKIrFsGxoi3yLIHyB7bYo0lR
5TFswMr1OrJlrC2YDYi4u41mD/52med+EbbudnSk++BarJoQ5VpUE0o7rudsKW1W+k9V6mjaAZKQ
hfmUVv0VnsR607HlS9yBfLjJSDZ9MekkW2oWH3vd+uRtOnUXvMWpS4mD9/a4AbsEi7clIuVgruez
uZu1Vaeaj9AbzqmZPnbJJD8Z8NQjXuwZOAYdiq3Ht71OtWhq2AwFSQP0Y6h7UW/f8CBGBN1q1S7C
1I8nzIlL5Lu+uI0JQmDnvrznv+w5PXtyYf4YeQAm1dzEYrIvy5gd2pRW7WMKKD1Ah/T94zHf9BpH
VWW0Nzo3lSnK0fbo7YqUKaczmxeBTWSNTwK7fWvG2uCXxmSdx1WePwBBBD5iItl60ym7MfwVwpwh
0qEl2ikSnuYnt147UcRElUDVZ1m1nXdn32i05jocmNEtqa9UACKTuKPQ2LahaHdAz40VbwryKQsO
aSRif6Ing/za/IwFbpxYKxdfOHIMIAo02vTfH4mKNILk76TAt5zCMXoTNycG7BkElqV1zuNyzroU
SSI+CzCBOUVkTSnoowL0GW6kIdXtRJz5V/KlCHjoZvUr22LSuySvFLYJUh1Hz9qhy32dUGSyZA8b
007jDYJBcy2Usgtiu3E2Y0watBudE2Ns3GZGOV4zbXGiTEyEx9jtvX2uOt9UqHyfHMxPXT8dMDzo
ztKhPy4cUW5L87YzuP48G2/hBCNII7WHSDIl3n78Jp4aCvUlWgPc6Hw2jjYgNJ0IBFg+S1CA43VN
CDc7j7HO9l6cR48fj/X23I7f+qX6a3B65TN4fPwnki/vZZFwOBigYa06GsY4PmZT24WkXgM5zrVz
jZjMm27UyVnXleigdwrgICOvd/AbxNnbD/RH+IbL5EVUbfWz+6/lt71U9SSSKO7e8AH/79/uKsSn
xYe/ZPdaXT0Xr+3xL/rtj23/z9t/Jg9j/dw9//Yvm7eIl0P/KqYvry0a/n8SDJZf+a/+x/94/VeC
Yij3eByL/wclsIzw9+9cLuG///M6y5/jqqB29o8/7+zHf//n37/pb4IDYTBoYDU6i+zAWT5/ITig
MYaRYtsOB6Y3DArv1N8IB2Ohp7CpdpZgGV7Ff5JTjL/YAfMCshxSA7KcPyOnWEcLGfgWLO6U75Yj
Gzuu4yVdDJlLipTW7M1OGdeGmW9hmZF0X3TuwYrLuILuGCnlqoN1AtVE2L1yH3dW+oNFWa/a1ahA
LgVQWmDwwkWrGOKun5r8HKJhkt50AI+fBpE43zDNlftYi/LzTqY6DL4MuYdKVMFeH8Nsa2fesO6G
tLxI60apvpXQvS6HCUj6rpi0HdxmPBtzrNfbYpDC+zYkVF0DV12E510z2V8HST7nzaRbDhChJL5I
9Qr6iwEypfS9qHaT56FT4q89dNkiqESFBqNuYaBfdBZUs2ir5AURXr2KkXJEooL7T17R6WHl3boN
Ib5XcLi43HhsBc7bckrNkN2czUl3U1TNEiZQLgqIfAXunRWEZFinCK+IRQ/7BTbJ/SQMeyp62fgh
bTG57ofB0QDShpr6IiUlqXmTxYkl1VVWthZElzKtwswvejFjTbH70oAICiGy8MfOM0OamxR8+J5Y
KTQxPyM+uoQHHJH4B9HcJSVxTn/M4TS1Fq6gApL5emADT/qkbg4R6uIxFFcwuZUzVZbiRsUdspqx
B6zkYEKTIXnuDNHYsGMTpd9mik02K47xGXgr4cpaLq0tXtXp2anTbCPzfslrnUh+W0KZB5d4ZkGG
GOwyszirqq7fZW85zk25RDoPeX/mkqDl9DG1lyX02bDj6JoiM+nwcT6uKW4SM99Zxiq1o4pPrBce
xBIfHZYKQVpAAN3VrAz1NT62+6wqooMRNe2NjAfnkNfZ8C0u3HFNDG24F3U8Hngfqu00VMlDDm4e
nmE1PWYxbH4fjiPkLkcP11JLnCsP1N1DXI9GMMa2cq2MIRnYrVC87eAI4yIkX22H1IakbM3B+fTA
N4BY8SVFu7G18radxgyeZxhT0rLSxhghigtn9KlHzGel0G3iyLq22PR92Z3JcRY7mVM8RmpsnHsz
BC8ywix5B8gYx6QL5RJZcSbyn5o0aWYbzkxqJ7lB5SbTKwwnAJluRDI7Z0Jad2njrNu0N42VaYzO
BZmSGFwA0+ULDL4frnu6RefaCDWd/Wu/6tKJZ92TJHKIc7t8EO1Y7ohIrb9LPX7U8Ln6Xe66e540
4PDaMLGP12iRpnw8IH6P96U5irtIM+avvTGD1PPkqL+klVDPlblEY9WQ+LuXUAK3SDZfF9BXoFlq
s4mxDfMEnRSsoNt/Ve00f5yyOXk0ZJdYvtW42WMDsWktM2aYrXTU96igbTzK4eRZ2ueySm2fUKl8
lwqDDHd2OXs5th400ClLQctBzb0mcjnDSrpEShKmktyUYTruR6UehV+BkOMtjvh2W+6Yr4j0w6al
kB5dyb72ZYj3gPtCJC30ST9SVL+2WrmvCMpYs+PUH0xHMa47Rdwns7hNa8X5gVGPXFQV1TkuJwkx
3tfrOb1zRGqeF4itYama9cpOWwBnSXTmma2D90w0TI2+vcXYDg5SqNWL3asurvK5ujFCb/7eyIqc
ak0hNNwrZH1OhKR5H8Wm5dvNIqWQRTMt6Z/RJS2L/ltnKSQz55EfZtB454yIXGz4Yk+YALnNaDNe
cwlkqh2aC9J85cay5QjXoTe+Em6aBAY1KHc1Sjld0A1Gq5fZ1He7TqdRlZkxcrZmVLbYFBexGIzp
Q5a2ZMfWQGQ3eT9qV0OblAtOJIHcFxcyHQM97sYvlTRbFya3NG5JK3a/Z7IgaqBPeh2SXy69TQjq
9YuphO5FNZTWc48V8tyzQ2GvABuzzvWqMd5EWhmSjuvG7UqXIL/pnGt3k6a0VxDSe/ByvSHX6PLA
hrZJfFYVZJytwJi4F4qmV1dtQrHYk1bld+pILdItv2jSns4iJaRoF7fwGtKwPbPQqO46iAsXSqcn
vufW7osJU+9npZg/gLjrEBCHtvOnBucPoONNI1KFSa5kl3KM3UvPyLILepd2ukrnl1jVm1WjYnAx
x/G+UsXt2Myq72qcB8oQ5l5CjtY2oQlEdMDsHRqiGDYKUF9MPK1sg0iJr3JsZ1uzT8K1KIUG0ssy
d2lkwadtnJcUscSXBuyyHzd5dRc52pKhLuq9TOFVYAuy8kur0iALt+VwWZVqtFQD2Efahd3taOxV
B97cYl2SGXGTTJX40YytosLz03K2Pab7wJnG3PMTTgija6r4nGbrVZ5ZxU0RKtY21/GEacRO+2qL
y2lq1eRCEZHD+bysdl0/4mzux+6bLrAD5G6FqNXJnrpW+54uake4GfPFIIuoX4iwMS63Bu96WxHb
UIDvmIyx/anh+t/0uNhuU7r+m8GUWBSXGpTpctY3hAKCZNDaK1t1QEF4RsNPQeUfi6OBJ2LGHLoy
OR76ioiVM9mfi4QIdquUBGWY+VMzyn5LeTr7Ubi4g6ZZ5bm67lPs5q8iS9ozg+hMX3VQmTQW/yu0
HDzdCNWgGnTqGbhbcz0kmr7Vu0QjUVZJX9BhW6ydb/5J3Cv4PXOiv3OyQNo02dYdSuieDcmmJw4o
ACGNKXZk50W5n9RqPR7Ok6Li9J6P9dLIJDlZ5QxFKa4akFS15UtnkZXMz36X9JHm9/h4AjkYjZ9Y
l7Mp66AkkXel1p6+rTTrpVHrQ9+jJqYJk/rYzHcs0cpqIrxSS8xphWEpQeE2s8PIVQDsanXl1AI8
FafYttnNssCFUmT0AuPyi6t0wE6rOdpS53BXBEiTv5wAljZxbbZzHm2hyF8ahaJ8Ab8hd7nde4E5
kXw7G8UBhDzmsiTedrBIV3OllL6dTwd0wNo6S7J813Z1RceFsGkzqtyVFcNlKQdjZhF2jGuFg86K
td25A0KeICcNoW9b2iv+XZzpU8qJFprESk9qiw9ZFvM9MHq0Cpr3khRTQ42d169qlcAeh/JgKyCr
vY7Q08HqNV/16v5sLIQXpGWkQBie3X3RTQe0HU9m6Nz/+VnqXzgl/WvHrf+fzlLovj48S13ixXx+
iXuI4F3724HqH7/zn0g87y/qTyTIISEzaPb8cqByjL8sTk0oElwLIJllcN75JxNP/4sSLMdpfhu6
BCr7/3OoMrW/0EpQ6Kf7bS/IJvt/xcRjBMoR1MksBnuXz+YZE9bGWqkDNik/4yqiBOVWrPYurdJf
Tpo3/ygH/JoC+b4iQco2Igv0KLhk3nUQ8xJBPUE7jKRjgceL+1SX1biSYdz7fz4SY6B8QY+A02n5
SX6p/EWdEs6iJnqlk1kP61a9boeClOZm/qTEeOKS8I9g+1mKOeq71sRAXcOrxEzGS5v9zPLsZ6gk
P1P++cfXwzAkuC9NSqQIR2Uz9PXo9K2xJtmXLYjnNs1qidP0szH5N24d7yoVHBTMaPmOhRWgcwoT
e3oNv7AQFyPhO6B2dPdClOknF2XzEH6vGdHZRXVAf8xAIHbcIXMG8pI6j29ALIFg2/30ZYrGB8gG
D/UAnvnjO/i+p8FgBrJBpO625x1rs2HoV8zNqg68pgUaDB8hSMGuryoleVbdiKgK0CsrbQI89PHA
p94Q9JeYtd7KwcePjlD5Xs/jsg7qJqlue+yRK4tywgMeI+OT+bVU9N7dUAojrArU85nVv7/1c5/2
EwaCGrUvVDUib6ZNqqvh7b9xQb+MspRofplbLmXdQelzRvFGIDpifBgKWe7fKLH/u5GO3npJpih7
bEaK835a22P6zGcY78+n0+u9VZGeGgkC5G4icCf676hTEPV4Yk0F2WCHLASzcFutyJMgrc0wvzYg
+ZHX17g/01jfWjDHfRwan2hbrbc42t+fHoJF1+XldDwT68kyXX65r1VYWG5R1QUlVL1a1+qgkKlW
d+PNbBbTxgvVaq15QtuCi7ICVYzVOs0Nb2M0ZrkfGpSbvqygWbqIV31RlRhw46QgwSk0zhZS6bZ3
sp8TtsKzaNaGy9ohMolaWGuvdK9qVlXNL5nisNiomdT9no9W4IxNcZiEpz9mjk5lLUzDp6EYprUs
RisIHbBn1QRBXKZMqcwZIaC1U68UlIRGdz00kXnWdeiO+ywvN1T2y1uQH+YeLoF8aUI+NBoFtz3Q
A0ZJzeqcqKYh9WPHjavNZObq9xTgCmpKfh6FmvNzEXLR2dCRBs2W9DrSZzZglLHo3RlhmK40knZH
UBsdESYgWbaNirM1bYCEU/VT/ELl6uaCtZOIrs53ulKnmML6FkcJrAwM8rBYRo2KIrh5f0AFszeL
IeHgPlfnmkpUilvAI3E9wvycnGZ+FA/W+Rhp6VPkVvmDLTP8Ja1Rf2vsQn8MufZ65QBt+VYXZj/z
Mw1LHcypvc43jInlZrRNwEiKKfKHVkKkgu3OxlNJuqeQWwOJo6mv7T79qWo80x5H+iOVhJ9jK8Pb
zp6rM7mszjGVvvOJKlG2FTmkSpYXL4+BjtnjF0x/5hkflc4nvTDZDVFurNiJJAtFrC9hqeONXJl9
lFxFRu1dU78qf9rQDq9ILOMm9jl6EF2RLgWsZeblLQw4oGPuBftw6joJNwHhEQA7k/yToqmjO3cG
0AC7MsmePHAxhKdI4pqsOC0wppOGCitI2PmObbhaX2r9UHtrOw6Hr3FYK95G1wZO3wQMJvPKVktx
AWR0fnSxYt+NZVb81B2i5rjGiao6i7equk1gElbxUDG57wx4talPbYIgDWFaoFYR6w/APMbCuxBo
xpHF6DyCLhwzss7I1axWME4UBJm299A2gmlnErXgc2zz0Ol67q5j3kNMwLsfPyBejgaUYmX67NG9
3cKEHy4xC2rRKvFIqmqHcPxCtXf4Oos52+Eu7VB3KUJPtilczXkzpy5WD9FGkhMktbfveAXaH/rM
3KKgMGlr6pTt/eB09bcoJarAmXKW8bHihxWUqve2aiYTjB7iyLSMJ2HFUfbURHq5H0NoL2JsdZ/8
mJ+6G3sXoUagIz8IASegNtbK1DZyHRd2fAUNa9z0Ub6gUXhClCIy/sbjjV0ByZ/gy9t0EPBSKC3G
r2XtWUFJwXZFkCCRLKbWf63badgh+wIy5PW8CDNBWcAIElJRECY1CjyWVst3nGZfu14467gdb8nD
C7pq+N7HU7IvSlvf9CH1Mb7GziHumZRayY+lavlwOXTC20QZ8xy9bsj53skeXRImznHjb8kWy6mt
j3XnFzJrM+A+KcXeLuelZlUcb+K8ntZln3rXBvvabaMw67M+n9YDmZ9UhUFgzoLVjdigYactn/7a
5Lr1In1OWsW9dhHrPucjIC1j6DT68lK7o3xu7MeeNwpDZvjUeyEq3nyq1gMH1Y3Vzkyjwm08BO6L
1V0RFHYgpih+DHfzoNkUxkw1f7YsFkohWD9AhjmHOYGoRrFhWocOkYygNnr3ABFJXGgS2is0XV5D
srUa8tWKfp1OVG8Kva/WtmRoUVUiSIA8+BjT5UuMHKsuqZ9GXgtJBv/YRiT5tVFDs4klOMG4Lerr
tlm29pVenedazcskm5hSeaGZaMS4O0noEWxq9xpp4ay6hHV+6zJXe1Ulq9WwvCOWOmtXWdglV6k1
RtuB3HbWODYzK0XpLDCd1rbl3O7D8NB9y5hZEbtq9IfZru6TkTs0O2G5HlVH+HxwJa6djpU7V4XA
/2KXd0MdhaQ5lCVBx31xaHvWHiVi9ZAekz4biDgfvKrfGiQTrqJySK6MUFe/e1rfnQ8KaZFZ1V+7
WZsHra0OuzRGwFHQErrsRHJtEG/9VUnT9noa4+4yTOdHWFPy0c0md+1O2APNWbOCmbjfTRk3xTXc
YQrw2TengV2UGPHPKlq8/V1yz3x+EAMlKgJ/CMmJCvLSVANB5NSSDFYRZ8ri/l2xKnIvHT56iwTh
TEliolhLVl5RsuKohasRP6GRDDPzSOt/LLLg4xBG8Ay2HP+IKLOBsPLdptlANbsPUIKYYlfG3krX
4lrS6fJSQsLynMUs5ZzZ8IqkXuFrkZotkeUqoVm1syhMYQcTxNn8X/bOa7lyo8vSrzIvAAUSQMLc
Hm9oT5Esc4OgysB7IJHA0/cHSn9PFakuhuZ2OhShKEWJhM/ce+1lmNXktc2wmylEb2LqOAJj1YX1
2BVWcRobm0BsrzfrdeUPzcnOu2EzCJgo+SZsNOqK8zRaJN6w+eQt61/hjSGo3oifCLk04EhOoooY
TC+w8QLDPVL5J0cRdbIK3cH27DXtAGN/pjet96Ob0hj3RZUV32sJOV0kkXfUvlcL0rtwmqO6kSYJ
qJp1ffKXoTKejn1/R9IBk7TUwTFt3flRCnUibh1wm0EosgNE98XPzKxfky3yYUxtcPNauGDo1PcO
QKs3qVOZp9mGGKA/HX8gsjJNMWq3i5UjGcRbLt8XC4e6lzI1lnhVg3RKr8C2wrGmPd+pZa+qlLHH
kPv9wWqQB+kmfM5imeFebGX4VAL3YW5IZBCxMjcDe7RY6Qgv4tKxBmNNCud8w+cafY1yDy1OJjpj
lXukFKW5YRwTLU1/50UF65vjsnw7EdUJDZszrkY8TuSm5oIPGTP3Yu1P8r2U7bc8jaUgxsFcQk9F
cfe6C6wRImPlPWSHuCic06C64kdlY9azGvuRaIYl7hPWPRk+zCVS0d8ol8pCMKW6rQVlVdIWz2xc
5cm3Gn8zWbQ6XVKXpPVNgzwDiAVXJezBq8ztAoIYm6Re9UMoD9Ei0bUxsa22DgPJDxg3OM+2C9lj
FfCvvW8I734KBcttOGlo1UmSfnlZA0tQYX89zmCS73RVb7kNAXWET0dFLjYz8Rct/U+FeTfjfDt0
Zn4gXoy11xrVNdYKRF/5LTUTNrfJDQBlTJTcTI2VBQwEWPzkGZpHlOCQ9V7f/IbWtJwPgA2KKnSy
b9SWXoS7LPqk/NAWAg9jspkz9pfRS57LfLiEE1v+7/uwN406LwPyFY5E/Amw06vuqHOULKKxzgl2
oyAtMWJls6Y0KZm3nw0HUP33x3tL+FwO6BGF7jPvt9/IV8qWYs9xs0VIjf/t4rNWbRKGArhz82L1
eHZsM3KWb13pj3cvWzAh7bCbY2sUu1gQO415uHzGUVDtNdDuO2/Emz4bWxt4g8y9+UK4L6/uByz4
0YWWlxwY5SR7aUTVuXbG977BN4gFRwGoQLqOIwUk8Vf9ICMnFbpllWCvQeXqIklEd+qSEGoFFPlu
hj0jWDXRxXARPv3+AVgLUvBLLxpQH9gL/sNg6q21xyQyB/HSCLG2G6PwkDtVcGWEYfClGKhLyTKU
021gyOCJHPanLJga8hzluO0nhRV3X5Vxsix2bb9qyFi0t1FfU8s5WXug+A2u0qrsvjXhEsrHQIuu
8eXs/xX35/9HvNpGLw9E8j9zf56+txgd9D8j1X//zN9ItSf+cGAHBkCZApTsBY7+T3iLDSvI8UBu
MQFgb3A50n+QavnHgp5APvcg9TkMjP8vUm39ASN6SYiBAoQ1At4t/+E+/Y0XQ5uCnAVr6u///hk/
fvXdIRqSS6oKZ8hBHJb+XxESX6hhTkhsPmDRj4F8TOmQRu+iaG++O6jcXKODLS96bzIZfj1KOKjG
sqnz8P9HdAG/N6BC0WH1pexJl8Qdxj6SXg0fqJpp1H56Hv9whcvz+vXD4+CM+Fn3uG0eN/vXg4Pp
Eneb+cEhcgIaeq/txo3SguNKM7ukDIefMeCrg1VXJvamm6fku4aKD3zRuvYmh9OKs2ea7HuFSY7d
GM1pIBkXc2qs6SgtSJLHs7XediTLXg+dF14K3Bo3/w8XwZoFSStAsG+9ViOYLQtW0c/BoZm1tcXn
Zd4VBlLSxBunx8Y24bCIzLO3RkGomzB1/ZmMODrPCtoPqcOBvnNLS98tvsMrU9FCBEFMWKGf5Ud8
eLIdBGnxUCRDv5vKmQA8oyiT/e+v4Q1qy3OApboo4jAceqOd7Qj7GyaPKO/ErsdNa875Sqt2IrLu
vd38zea6HAl2MsMXIsHY8n594pJpcFELjqRwuTpMPQhT7/rNqe3t5t6UtKe/v7JXHxEeaIvgDz7o
Im5/q1awRFeWUBo4XpS096wo3WrGyP4dedM/3D+8UIC96VHQY7/2Fwpalosc6/pDS2ew97lrNVbD
h6zzH35/OS+b7S9b1aKwAbhFSMW68GZRSCP0aiPv4MGaRX6cvc7akouU7KeJBzcVNs5eOIp02BL0
2YX9yb9CTQJfi0zYS0xO5bmQsrmHGw5s5SpIx7VYKCEKrtAhygkcrPJy2ie8m48qgkm3tsmzZ+aK
+zN27REH0bVDrpnPlLez3O4j3vnJ4fcX+VfF88tV+gD6LA1YviwIsVxqwp9q0BDYaohnMqbpZuBs
RdV49CIoIEbTIivMSAF17eqHzltjIzPAB17e9JAXiACVqPsdmbftTZ0lGLP2xF02+PN/FFaW3Mhg
cr54dBEfZeNuWzFaH0SAZ8WKiHqxbmGQPVhmFuxwjUUBpmL9GEeltSmjZNrDSRSpir6wnJE51Et5
Gw2WhGpQVWd2l/hAsIe1tSM3OcBymqBjJMU2tuAEd3blP8D3ILrCoLUvRRNTKkThV2I8YUt1WXRE
oqFu61yM5ELNnnMFupIzKF9Y6spy8FjHTNMd3Cpf9wLSXQZF8qnvSnyZSzLmi8m4lRD+vpFm3K38
PCbhMuvtvQzxUIWmB11jzmp3Y3gzroCxbT7gRlR89KI4+1GLmKFkZmJquw7aGFxmrEzavTLWnzy/
zDZeQVDPArIeQWT01dwE7q2bZwQ2+MmS3Vck4+3Ql82fpDrLZ7PptoYmZTwOs+9GZvjXRpkbNHRJ
tDW89lQULmcNpRWaXHDUyihvqhAoBrOTsV9RRBkrDFX2Zp1eLfdzU5Fkucb7wFhRhuGiX9ifZeyO
kHZi8xhlRXHlhPX0aORZTzQsybE3qFoBPScVW1uT/WWdFqO9t4jPOA6zYz+3EOTuUu5TeSQYgCRy
r7MfMmcHp5U3QmEDNjS2/VwBj+6ymMxvu9Y+qlOrbB/LqcPTFFteHo1OV53GvXOchl0c2/dWWAxb
1jZ17LH/Xk2G7n1iWaxvxNYUm9YVNbOF/DoBHF4bI77boNNADWG2aFt7ZhimeaotxjHYkzurNNAR
9vrRNQKCLzERK4e4781LKGaGXK1Lqnz2bBVluRnxp18bC6Dbw0Tf2W0rrjw9jBBes2BVKexMC9OO
VkPaGKteYePsYQjNEjWMa1G8sE4qfTYgBO8zWIbryfDDz0YdT5yMDncxwsl1nC3O3K3ZKF4uNXob
tqFsl0TgVpt0TJINKdzWvu064yznCt9jo8KhWsvpmdBw837AIMKH/4fPzcq00vp2hhnPMtWJ5jxN
wjnGpc4Pwk7Mg1fxubjGVMHVCxqCZnAjhfLIFCFuVnMf45FmpuXXVjnRpzQUwzcXF/pPtmrHU+H7
6pipoF+pqMZG2jRqsLgsXMvQVMdB8H3hRg1LDUFfZJOF7XXiWCaBNzc4U+DzVpgRUfLGErWjzHKH
8U98BHuvtw4JG+t0og0M7CHZC0TBV4mGblyaRb+SFf+5RM7UG0YQzSmozWxDLMW0N1zMcpoOCXOY
qukHMO9Y3RBACbLEuGs9q8lctZWVbV4UMknEziFm1ASWOdRbU5EMxRW3J8/tre2IvnpjxXS/c292
H+dgdG5xwzRvpsTEeBqE0gUPhob0XaR4AwQ5OVpTmrZfYw/Y0q0S7ylO+vKqlJ54MEzqi7yq49sM
FwxmJZR8JGWbdF1BytmRB4RFE/q/LbHO2SWPnOZTmtrZJsPodpMY1IWGrKd9npGZMTpNtsMceXiq
+i4/Nonsvs1LOnSeOqw9LRfJoGS+dvMqPM3AGgcElfWNHWPH73UtOxecTLFmAJdt6JTwB24VVw7T
+zYwi3EjB9vaNpgNblFLRuCpddhBeZz5GSvIu48RI8710NqcSTYE5l4pzJFCw2VM0UPKpT/LUrm1
g1jeChaGNfHZyb7urfnAGCRfBx5pW9Qqcl2HbrCijmwZ0fG+CjueflADq6dEtazrJKyfUjyloPqi
2twL0nP2MJ7BPdrKuEwcIN4YOTvvDLrNaROA82XEOz8CCIz7i+nV/AlztktrWs0GJZb4hAr83GUk
FHmqqfYdoUkj4zzTPkttQnRkURDtYCOMb5xdHTf6WGTWItxL411lh/G2KocHES5E6R7Vq8xGufUS
864Ny0CtspjpTVuDWO+5/V72tYXAF1+1XdEo3mbZM/It4Wb2BShda1tteBUwk61ZWacuWsjsTnyj
/8I+X7b3/21Y38kaZS6xJAf+zw0rlDJcUZ7LnzvWv3/o747Vt/5wKPDgzwLHvGhP/jtuNDD/wKRH
EGAH24PW00XG+p+O1f8D1xB0Si4KSErvBVv5W7ACt4rGFy+zhWsDykMz+6pD/V3H+tqDByqGeOlW
XWRRFKev9V5wkDH/zztxLmtH9c1aRUWiD61krEy+eIlYu4onnPHTTBgjAxKc08iPj2t4wUEtnwmg
Ki2xIVBsAdNl6s6YFmLG56TnyGogJgdhCRjUlB06vp/u9D+0oq/6EgsEEeLUogwF6ZLgXL9WnH43
jDki4PZMW6IvIqZ/lID6V5PyzBtyDNiwfn9A+gJ+5U9FLoekZ1hQTXohl6f5qvk1kpwYn6GKzq4b
XJH4Tj5IrsCm97h6RA1KE/rZg2jN+nOArUyj14OjPOcQuCBlOxmRqHAMvWSJGoK3yxfrhkzdrZ5g
H79M6DdZHhgP0vw/5BYuuXsnLKszRuS4UcIAAGMW2cLjbtqmmNcSp+UMsm3JvTZcpS80/UwJxSyf
ST5is0sbn0MFDK+jbeuFy4hKEou5IuyIGbbLE2EU03fDsEMfPl1PbmI9tMLmJRht6sKWOnE/4dSD
FWZPpk/rM/VeexTW0RY98hhtoQDoOzN2cqRHcWQ9CIGUY5V4lMcr8gSaz0ZMmljkjpyGJmxPE1Rn
1Z8tNWKA77I8x7c6LjijYJL2EViY6r1tlgAIRrSWeLDSWHRIIKHQ3WAc4hk715vc+pNlD2V86tuO
9y/q8hnyBV7ul7ktrQccci39sfaFNr7YVs+dSzoMYuG+V7o6trXPPEJhPzyTOQCVnUmT4m/rgazF
LelbTAD03NBeGfjRx3chza+7qsgcihlr21w/vr6SIikKn4aJEk4NLT8ejILxW4MvGlYN/Gqza7hJ
yQQbeeU6cDM/xSPg8MGZzaLYch/tYS2TJaw+MXK2Hi37Zv4wzRWPVS3WzGek2nl8mpdH4i03JyAp
gudH0MI5aAwm8UneG4RM4816HaPmujfQbpEdqPl4Ec+Sh9EQtIcnXDvxEeYB4/hViwWSt6mUlW/h
4EabXDaCEBoY7A8ULP0NcCmTvCIl+getxwCQk/bymtrLfTLQVt2Mqs7vyHOKnpEMJAf4Fo6/TqzS
ey6jTH2sbTPVOzHzysajqe/UqHp/HafLBKggL3BCmeZKvSXhNngycGvp761kNtyNVB6vjWo9bu+Y
FG57a/Zaov2VCOXQqlPdL6iR48ezzYyZaO+v8Ht4dkAfzvhjotCrP/PHgh5ej/qSFCYDcRoJjKUj
3pHOKtFpMGdF4WAtTz7PjMZdGeHIs83GOYd0Q/bjZ+4MH5dHZTjvs7oaw11HSdp96kKpL8w7+BCM
2eMGJ1ZtufuM8ImztGY4NCEqtkOkUgCxNAQYAnZoDrTDk76yqTMjUskGjgKlIp1xtesgkmidcl8I
g0a3MCwSjTLOrPaBmHPDeDIGatyr3mqN9m7SAWeSM8AZH+eCoeNj4sAgv4QqbQ+6MFoEcIpaalbL
EGqeCu4lE0jupTZHxlZBEHEjIE22B3ReuQbmDvl66gbLmfXLi5xpgwdHqBrfsauWj6JvHX6LHm3W
0NKpLLjxhkBeIvzY/aRzf7Bu0zBgofAjkVVfPXsUN7Hr0wqhK+eYRhYhV/HCqE2/tKIdo3pFhFX/
zQ79PvuIfLETZHCGs2xvK1oiF50MypFg6+XkfG0tCiyaKl6nU9d4PPMe2PAm7Wdbf/SHsMm+kzNv
oQVxJlpyugBlWbcF+8/crKyBVJ9jWFo+2XdV5ZrmMbZsgBBMcWGDGfgrfUn0jNESzdBNiQz6k1RD
uASEffAw6lparGp4nKrJ2JJ8FyN+rLu1PUTx0c6DcAONCyVUkeCAIGyBCDD2CnmAJ+AuvkZ0bAmk
K2fodg7j4jKFtTaFJYtMdaxr33zqUP+t7cL8YkAMAOmgd82mkkiteNT+gTSd6M+8C73vOiJJuBRt
eUt6xNWAtmnagproe6IYoi/SVuUWVAhvkbKzL7BEyy/CiYudhSQlxOGzID2699q7ICLCzKszIGg6
M1rZOsofrbTzUBx1/W5GA7CiN8AwiswvUpDG+lblc3ElmYdvh9HL71nW6y9pMMQflJPfjZ6p033b
kO3STERwmJT/e+CU5EPUufkjbnxdtGtBe6/wG4UtlDXzKTcCAFGbqbbC2pj8L49Zf6Ls6oFNp/5U
yqKON+nclTs/MauPsQtUINh6YAW4ckDT4A36pna1jYpAFSRQed2PpPXaTT44DpgaZo2Enlo3xGF5
ziY2ZUmI0EQ5sOlaS0HfKaq9nzfTQsu0q+OS07WLpLhH71DvTXT2GyJF6k9p1sJV0JZyjyXzW7Wd
Cm+4aXon/BDUsbs3ujkj3wUbDgSLs4/I33VvjLhvzizY0wF3m+k4GiLAqSIbt1PXEo9lOcO6Gab0
EJed+6ASNX8zzTw9B34wn9EfBe+ler+aDFCf+IwD8EQB0LQYBb8qiaYicvqg7Z1TC36mVgQks8Xw
2rLOlRqmA6N6fmptFIo/m/BM9Ds44KvJLyfA8IN/XsawYDyvsOKmKmyf/FoCFPua6X+5sJBGm13Q
MWAwpaaqziHLzDtHfYUYvxx1kXADGBM0Dmj8ayXohDNowyiDE6qt+nOCG96io7Mocn5fAL7CjF+O
g6UmsDTl5qIT+PU4Kq7coQsiuk9oXSzqZsumUTIdkDpkxfr3B1tI0txO8Hfo7r8eTLCIGOA1welF
1FdVsXN8YdQbyRBsf3+ot5U04xxse2gGTNw3XlPPmyjwasItSfVxJ3FTDtT+EosdiCt9de48iCL/
+njLfE7wmpguIu5XNHAB2l6VeSFPs47Dp7/2wJIM8wQh2UIC7BJiSt65nW/fEWijkss0lzxvab46
ZlU6janzzD0NQ7Jkkxj2UYvxPTPmfzwKxhkB7r/SojP59aHloTWWYdK5pwgc6DAljH08/12jmn86
Cg0lEMeCtL8hg7u9bTXS4FpepAJuAt/wRWL6r58S1gqAFz7dDu3mqzuWNXCJCQyUJysE88HehGei
phEGNxoEcdPXWs3vtHRvlw/WdJYQLgt7SQ776+0rExVOY+46J6MK3U9iIKF6NhWlyIAd2rb0p0Ug
180sXr+/1LcfNi4kaDxwqsfl9c0Libl1Ys41+ZHZwMcVVixTvYvCY05d/5250z9cIi8HWhxqcNx3
Xq9VHsk4HKqwTrqNizUm9dV5Rqj3OXcWutTSwenlrfn314cBmY8SSwKu2a8WSGUmpR0HrjjlLrqL
soBjn5t+vKfRefdDe6F9/NokB6AT2DY5XuD5b7+0haRr8jnD7e2AKVNRSCwtPTO/1Gpub6oUsQnk
KMpkPVLXwRSduhvVKLBrCJcOzUUFvTWyum9Ye9lUnXMJW9zP3Po9L+a36x5WdDbzf1ZzJqmvbdvK
RI7JZIS84QUkn3USJvXnVBtsV9ho86qlAWX975+EePvtLj7a1JVwZ5g8vhZRRDl4ScgWczJ8g1pX
+zb9A3lT/Te/FexYcR0u73uaiJtmyJvPSpENu7GZOV+azmLE1BDC1uyokhjDTiKPN78/wX+6J4vU
D2EV1AvzhXjz0xyPYVA8K5+vvph9im5Tpl9EBLWbKIUyWY0NQtbfH/DNt+cudI7FbYkZKMarr5aZ
JumWop+gTuWEZEuaKRy+qSl5TfXCx/v3BwM3IpACe/63iV9w/wPcf8n51Ti83qUl6blm59PlSLOm
S/r9wd48aq5smc5jSrPUYq/9QYvMEHUXmhMxzZLGMkp63iw+RLrE3x/odQQA2k2Wy2XvRoDHjvq6
MCGIOtFu7Y1s4G3c3Zn0cMPagIOCSShei925ThVIiBM5CCPGGJpoXnt2C/lp2QarRl/iJAMnMEaa
Jdipc/159iA8m4YLlAXqZe9MojRoz5uM5nhc0uP7sgqq4t8uxC9G81Ay2NdQK76uRBJicWuv6LqT
NUN4HqHVnQs43vvInP510cOheAcceCBAem8ofH1kWr3STGtaODZH30q5fvyZgy0pDtV5iTR/Dz9c
dq+fFkZYGqyHFp8+rDUUs6+fUjkXtmha6Zxc/M6/4zmuTq0TBk8vgMgyFhObZs7lY6W19c5HZr1+
RZxFVYi60ObIC2lW2r9urU4OIx5hRnoSAiRp3mBQ42IrPBF9ZzOO0DhJuCLLkN9XsJNvggjuPhm/
UXKw+okRM0mI08UcClDEOVvwmobAK+r6AceU1YyFx7Et3C7dD/z+O6+fjJLfNCbyECBggdec+Tbu
CGkHKX15vXKDzWA/9S2J0dBWamwo3A5X4lEDjXUhbOMzxhZs9EkDqQEnNDjL1yQjwmoyRVbcj6AN
N63bG3vtJO4dMSUGUnyPlGZQ7HJemV5jmQSwpiZRqp4cglXstPVVnzlMobwct+dNhdkfDfScnMj+
FGtH5XLAHUPEDQmSA1OxHuyboV71bM/pIgPOSc6Z10MtcvFtbP0MUNxI+V4CXS9g6BRl8Z2aNH/2
jAbxk1sBUaIxIUz6QIQCTUnZzPzt3MDQeik+VYaPyi7Il7qmqfnW4jKX0w/Q8mRcZyJqadynVgfZ
MfINfakJ7I7vkLXkhLpGjervO9QixQb9CV93JYo6u1Qz+odNO/Si2cGZ1ZeMnJ4rRm5VdoG13n3T
EIVnEN5Uzt9ttxyc67YRCxQ1kk260mbCD3Lp8lmOnO6HGiUuZFYrda4Ud1OBaAxgc0nWZ3rn1vgE
bMBBQK7Q/gOE+8Xk2lvUbvxG3DhCJESjXR4bnQ7GB10lHLrJZnatwIRn3qzi3O6s23JUsr+IhCDk
TcbrEt/RLpIaLmA41Wv0Zs5RqbYjrHzolbGe6xJWi2uxhMs54g0qS0WLa3lj4l05KhTjMdYGpg+9
FugvqjYH0/IhUMx7ndNCYmoQgDJCkcZzR5Syzfd+InnBMF8kVNVIWvaGlzoAzJ63b45coIbYhWFx
Eq5nT2fCKDUhjUQ46x+4HoR3/syI9S8ITuYDJ2PHWjw4qSWfkzCOw203dAiJ//qs3EXjZS7fzOjZ
qf9c4rlPgLQka0doEUPbZVds1lYPEx+Ki+Qtanx3UUflkvtqdQtmbqfd8Cdq2lHtNGPsu79GM6TT
PYfSXgqJyKG28ysPWaJIFyS2BZ5f1fjuH7QwQeBftj/PHQAZY7Ar70p6zCMgliQ63ZEwbnZnhCl8
pkVtMGnIJ4cb64TKsXdpYEXJfVc2nIgwwU52dW51BNaKRn8ZtGcbCqBHZtnFrwjYuJY6Fw9umpZY
gpE2P333DSYZWwTOlnM/iRoUOJ6ojbFQEqNXsB8zBoirVQxawLviMM1BR+j0tveRwjzr0RC2fQXr
OE8UJiGrMITZvmYJl+kpbzvQ+ikHlNyBoM0+iADyqFNhmsRCExsPzQOAbB5UOv614//vnPTdOSlf
zU81yxtTv+ukLL93Vf+rq594+an/DEqDP2gzaRwYhy5qezwj/s/f1N7Ae7GTMF3/ZRb6C7U3+IPA
A2hnDpAMrRv2ff89KIUQTE6BRAbLWB5bvn83KCVu4Nf9mwROmmDobTQMi5WyeFWp2vDYC4zMzXNp
GlXcMOt3XGOjcVIiylLoeps5dl/hBaPqdqcx5yfjt+5toodzj+R6CGrMmabuWqPxCSp4A6i79Jw7
zpMIqK42Iz4+kW9Fj4UevHUSufKjcpz+mrTn/m7GQDTcJVVKMEaFNu86GvlLAtl1UOOhFhM61afl
2Uv1jCJT3ufQM/80RieczkyjtA/0Z/VXKg2c8tHOwsG76ubFPWnI3RGbF6ewh2/py/DW6jSzscpc
BSkyrwl+75x108ZuTRvpsz18Rn44MmsaVGFcZ3Yil1oAr/9dxrP9gFVu4a5tC4ksdq1h8ijiCR0c
86953SYp8KrjwjfBrLj54DqDdey8Pt5bGgNE6vJt4iXJujObhGAjYP19aiUPU2Znd27KBPPA/2Jf
wxwMi02v7eQAV5CkAaS09hZvn2edOXrlm/DHjuwWbBRlYG/JSwzQ9/lkkYMTNnI702ZehJnLaxUw
jxL94Ak8hIKGrh9rvKcZ76IPtSfDh7afLP/Yhr1tbNKulvk57xxWZg8rORwS23hrkJ2IWaDncQ9q
tWrIyz65QYUrY+0xCB9wPlwqm5DZ8DSN537oI7yTojqG9+HOl6aMnMTchxHTmUy4uNy3oEVWP0IF
GudyA3ikYjKnm3TnT2F4cKrC+lTP9lSs5s6YH4Lcy51VH41ecnAM08+fSFUZyseI6A7P3A7ssdrY
EkEddN2e2chkdsc4kiWxn1D/EvEcdXMb8eRysZJY+m+LzllbTe3czMjuIBOFELeRER/Bri9+HLrb
gHHvOsuqMcUhaTGDqppiHbuQuKg5On+15HaSpC6tcZuTrA6pzCduDJehTMtNIa1jNLTXcvIJah/n
lZdUN04zN+tBZnsiLSAYZeWupDJ9NIz4XiMxWrUcZoeeFkK9mj4Lc5x3jBDCXaimD6Dp3bFp8caf
3Sa9agrDPNbSyXZ92FinADvdVUY5u+0MVKCFo5OTA5S0G/0qORv5NB9NyIQ8oNx6DCYLAr3vrBuB
4VYa9wYyylTtqtLr+5O07fRIVfZnSzVxwvQqOpOWO2AXVxD5CrOK8dm6g/O5c+aa+2M0m6TAkSlq
jMCAsZtifRfH3+XcfPI0U9eA6QNuLxhABk6b+WsMduCADVME30vjxJ+Qk9AQQNUnBhTKKoHmb8lw
7bSpuOPs03MqJ6Nl8NjXRwgew/d6ERX7sc3N4WM7NLXC8IANsozm/lA1DUpL+aGx80vmJ1ezCKlL
B3MNgekhwbusMrvg5EXjpQuSI42KtfHNaRul3P2I6FRfOY9d0+z9SV+nxLGvAjnoXVvn/VaFDNOi
0HlykdKuxrLoNqLIv+eO2a6scnTxgIiHD4mB030jxDro4Vs1jJWxTfOvnRqBdlqQtm0SrLtCwOHc
mwOGDIVuS4ajauTdqjHe5nm4e+qebm3EwXDw2/zr7GG8RpEfnFyWyxN8MqrX0E5v4qBPD4h64g1f
hbiP4uZepVBcfS5qrsob7Tvpc76sZtmAQSOmGbAg69pyLonVuKeq7uM1D4ySBr9+hLXxJ9PoKGcs
/SPuC3GIPCilXQIFmQQ4clUYXJ6QWdnbjmX9vrfHehXNbnDMUu8Suu09Y3BzxzLhn6vUGL11l7n9
R9aVYWMpL1Sr2u7Tm9TCOBPyY783eVA7s2oGJloyvthaB9etNmE3GD2k8OJzF1nWmpEcEuFiVzZN
vCImyyMRsrt0bsnqgtAPQ6F0B//P5vQq5zl2kpvMjtkdGviYmSDiNO0fckTzO6uYww9jNl7XMLXX
WvTpI7SWR4nd7Co31DNmoZ/cyDpag3R5jwcMY1GArBCy7bqxPWLNtw+sNOQuNs6NJaJmP/rt11JO
civbuTuYvfVQE/DIC5wxSCjiXJ1lM5o3sbAvQ1Bf5V385GbWvLLyeWtWeKix0m7xePjiBCOjV+wZ
s2UtrQ3/zu/sfZek+qJ5dGiCFUlOLKP+lyyMxKcck194cd7iMunQsXrqGh3tVjXZie6430nVWOfW
TXFaU3XC2Dyo4nU25f4e2fJ8jKv+gMH5SSVhtu9zM1lHAV6NiTJ2bGbQEMMARSXiVtpCZ3C+4nHZ
s2AjQ73B5865jwtY98AmzXU+YIAwjara1qmM/6y166xHa7jSScOeMOaPwlGHMqyuAzWzsaYBvhJt
/0GBg+LlUnxVuiRtd/qUelm+VVwPxIEqW2Nbn5zVZB8hm4idE4eEEkdSzjdaEk6ATrqpNwNd2Fkm
MtrhRzqtuiGyP4fVUF9Aj7JyZTCcrbd+xsqkCru8iwyFgLdqY3fds6/VCZkjUyXTjRCi3pVDPVxZ
URnC8rBoXgZ85kIbv2JjXLbnMdpUEDANX96MOE89QdYob82oViQhTzn8cdzK0+FSpoZ/DLpsPmll
PzrarP8kMsiIDmEBN2InvdHuVjZEetQKTjWpA/ustVV98LUw1J2IPSTVzthfOlnejaVh0EAa98UU
D7eYS33sWrvdDdqtTs3sfvQ7jPx0kp0sA/ILwKXaWGXefGF5dQ4j4urndBbtFh5UeyTt2tqmlYr3
bu4mK9/HQbHAJBU/F/U5iIgmKU3fuI5gKz3hiDKuyFbwf7jE6m0Gxvj46dn5c+V70wdvNCCSDP5n
O5M1XqqF9+R5c7IxQtdc4wiSPpRRacKnWFwAPbzibRufGO0sHxEPLF3ZSKp2DfNvvmtOL6KD2Rbp
t7rN/pxMw7sEQak+2p3amkzib/BQkejk2bK9tBbIq5MWD8a5bp1Vbbb5GT1wdUiHwaFGKKNrYeUH
WNXZ2pAeNolDUF0gRzQRy2083BsNvs+z5zYfDfRQVT/pB4WJyk4ESYBjJ6zeq7Lvv2Hx+ZXVOcfc
xw029HDDY5KKs1vawb4OMIiQkLy2+GWwQdBcb0g1UOtYWsAvRpVaMC3IfCJNtLlKRTev8r6brgpM
TA5jJfQGrvjXPCKwd9B5Iu7qWokPLJAdhLHBxpzY7cc43ztl9F/sndluHEm2ZX+lf8ATPphPrz7E
yAgOIkWRLw6Kknwwn2fzr+8V2VmFyqzuvCjgvnSjgSqgCpkSyWCE27F99l4bX0UlJIfXoNVvHZvD
c+oouJnMgl9vCAgyHF7p3VLwyvpSZZbxHUHF+S7yOgu6bUwpQMSWriGbx+hecmfiAcbrRIwLkM7J
nTYNiCgReMu8T7iogOkF5ozdOGNVXzF5QCDJ5zQLq8RAlzz3eCR2sprTL5Ce0bIuDFphVc9fe387
ksP+wRrL2XctlUYV+7J4IhuAOaUxg221/YBDcs9v7WQXYgx8brJR2TRFsIrpfR4F2IytnYK6TazI
xood9EnH+SebQybqNlBJOwb43MqDhdEgyPoCZIC+xElvXYussLAJOf2+bB3vnGcVNsKRfZN0fWxm
2a6cu/6pz2ax143vUwk3esQPQTd88oLqVAVlZ0aJJizQNy1VZHZPiqCA/uyoOnY7CkJq3ncVPJeA
xZoRwp5s4ZPNEf6ijsdJbgcYKOdg6GBSbTJ7X3wKwxnwd7rHS1z57QvZ+yYG+4czKK/OiwPqozA8
THQroyHeNlHC6Gk5E8sGrK948jGX7J3U+izr6QVXjX2vOdvjWHFPMUdb7VZ8kGHfjlErVBZYrd1f
tH6dd9C+za8s3UDvllX1ssKLDtEyOeqURmjDIL1ikdEpMhaqgVmQhUAdfYEUhCMKn1aYN0n+Q/ZG
ZKzuBhCFd/lagtLV6TVzVi95cY3yDkaJuPYCbNLU1b8YfvG7Z0NsFFsTZhos41XMWB2HjD6RqXrp
RZFHpZjSHWgsPxaUMDF0g75WWlFeCDDciqUkDGjd7q6Ol3zXh556LOrt99ki18dOYYX0B8cIqfJg
6jFI+RO/udarmq6m3oQQ1KmkH/qbZqKrK7iNk2Z4QIydxgrdecYa4rvLHVvfHw33jdLQ3kxv+0hb
Z+8aw3THNVfxYkicNdsx8eQc40rbl9kvzeuoZXUG/c4YivZAyPShy61zvWY8HrPOC/EO6Lu25XqL
mc7aW+NMkMc2UKuKs4fXgTlBh4/kvdhuRqdHvn2s7vSZTOn3ppG8fxrrcRovbpO8EIQZA65T6bum
mZQni/I45hvwUsu923zvmwfctPf9Zi85HAMz9dprkphkLWvduBOifSxoxgu1odDDcdqGPJBeqgOG
aRbGM+1hcjqIpbJaN46EIuHH5SToMMW02U4R3z1ivnfeVZ/9tCQJfytZgLta5tAHi4ATBey6eiub
gma5PDcq2lNNapvWxioZ8JreJfnR148LtsrDrK3dDeAk90WupX3Ymr2ekUli6WtCSQ9XxE8uOW33
skxeidCZzUemagkULav3wq+JEqgtPcPScnY9AQLVbziqG//e96bioc4145edD9N5y3Ln1FpefzBL
JU9Tk6idvYj+WdTQQrze/OAOX1wkqPEwSfV7sBFzOA9Negfh3AonHOwXJGMRdxv1h1YDIq2YuS3N
rtB2I1uNiPoKBoAaz1dtiSjFNwg+i31dPoxphLahsd7S74FRYC9uCys2szK5d7AJ0yaivnsVMnxl
uph2S14xhtpLPVGa1RfqSJ0gtsVlvmK/Y6wYMoyo0n8HNJFHnefi+6wyTLmtXTMG9Rs0c/56IOXI
iVyynJVxj1v/jvYSUoCrCVcFDTNr9PLI3Hh0b7Gpsqzm3a2NhPhlqfjV23VcAkQr4DRwmfKepkIT
e67CKC7WWrzNklRvkAhdXjiqOYUWbgtXNfhnypLgilPlGJmJaweTrEINyTtoDLODiTXcYjklYUsp
SCj2bUGD3aCfR9mNp6GxfnXbdFG4oILb3cLc8qvB0z1et7R6KHp+jY10WD1LIptluZA804yAONAY
Sfzc50UUD7mJuRFO/yV13K+N5w975usOpjFv/2Fdd7Wh0/CA3lGORNdaigp3E9FKNoITptl8/Lk1
LU7C8aLQ74NeJSjcFp7gjnuWaVE+QV45WMaMH69ErrGGEG8xT2VbTw4UBOEHl63N0KJOC5/UcLq1
I+nTyDPSNnrqw+fvs1t8z1376InuYcV5fcwHZUZcIc88or/S9FPvxLTGXLV4J6Pyh+M8AI4h2Hrd
jMnce+uCjLJx6KL54to2nkBLHWlhiLfZkWHXweLiorPVr53QkE2WZfF2Jhozz84nU6Vw3NN5jEGu
c/PyFnCIXAdHUNzbRp4MRSAyknw5ZVSFB7aov9dj4z8WqcYv0rP33dJlEY7D7QVHxYO7+SMRWsOM
rEHfjQP1raLvgeYzKGuRU7oq4IJTPNNT8NMzuuuwmWfpOR8WGOu2/BiNaj+N3q9+Vi3X3BxIlLEV
4VD5UVfUoVG0RQQG5Fc7UvBZavI967Qs7m7S/43PRTVBg6jioZVshZ9GdY0WkBmAlnlq0ctVPPQZ
D+hwmHpnxeYr3Ptqms0TfG6nxVZL7/sycymfO9XzL3GSY3iv8H+2XVwTH+yjbHTZ6zvntjLOkOlC
p1jZ3ayynHaoODhwyskO5Ga4HSe06iaQdzQtCChSfkBEoj/mZccChKfaCA/a6O2K0bgDfQCd3Rmf
NfBAw67ycHvuek0ufWixYmvODncExePDnKDPUdHQQaPmNbLB0vegRJR+NxGB+T7I1ZUjsDh/QLH4
X+vm/269/v8mJPRtv/v3Svww5PyHotA/h5Z+/3P/0OKJH+lYMqDH2Dfs8o2l8Q8tnvjR7xxoEyPH
H2kli//5jzod/TdSSRj7fBM/oePa/1Gdzl835r5909rJOblMJ//eNjzpo5eR6U7ZH9bbRa/gG1iU
iuaBKH225Xqa9Z9A77rP1uiT/4J3ynLhz3o/Lk8y0lQ4Y62wwM381b+BFN1RYDDIYwWj/eKmcttp
5sDncqvoc7BHEpNjZ5NaJKvDIWh0SopgJnaME7xRLzTVEMokgWCi2EvqrQPfoBMglAnWJxREctqU
lr9trew3MwBmP23nJHfVxOeyJb5IAOjiuyAX+C55wKqMJtjrnNXzT7fw2JJ3eb7t+szySfpgD3ki
FuKGfZGse29ZWEa6fL+tlYGEwFlzauyV182p1/qOb5Oyz2Sp2w/Lr7cd5lAJj5B1pMKszGGTCeb5
Q6nadOq/GGDutJPHhGcwn/Jb+jGnROZ3i+8yWetzkuZxNaVrzzGXafZbRi69IXbEyJ+dmxFWCB04
zNPLQ2fSUBO4qbekV6pxMg8ugDLSpyXVHfwlsuoE/ccVXDFzQDOLiKRa9tEQt38zNTLf/bb2sq33
yKa4aTTJLcNRGU/NxBiIsxiLt1ke4EmCpHkZVE4CkoHkWfq92lR6P7uqiRs4GajTrupodkg779tG
nYLGE3lZY9bd7n5ytmjk/902//0npTPz1WVkHUKpp9ahxF/BHQD67ZKABO1pgff8cl/1lX7BvMUa
2d+1/ewVRD4dzjomkk507UNHtoM3TOvqUMTyJtQUDTyzo9YXDlL5Tc+UDNyyzkKL2A2AEWn/1Oq1
eMLBAy7WX7sIUD+Mg9rIj6PnW2+FjWyzsCGNcrevj7lfjyc6jA5YXcqnDHDc47xiw8cBnrohjL29
Rj0Hw0cNn0Q9uzxo+0Dz/eG73UCZqGTmRis39KNMiVXry1id8eshmxOqCYljlUzjTh10mpHt07Xx
P51U3hAMSV88zER5PtKZo58BROlXX3kcTmNhaCeKa/lTSq/1x35AI1868OaWWT4XWmu+OU7apqEp
5GduOsZXh3KQSMAz3jFOiBsoYEYgX6tjby0/k2TwPjaUy9hvGzoleCaMH8iLNFKwzjayRQSyXc6z
IDNcwlbcWTMVCYxhSXPoWYQfCf84l6RxjbfVnLyr4dYLI+MyHv0CaAuQKJ8bRjM8D6T77i2KTQ7S
qqzzQoDtSmqGnVra2rQvZ8YVJGzxrauz4o3faLlf18k60w5VHqa6bq+SotDPNh2dJExo7jjlvbU9
dPY4c6nC3Ek6xpiDpPVcJpqRRbemIdlr1ppfPNVbj/5Ggw/jDB/7cu0TVgdenp9qLr73E4LI3dxb
+SsWjnUOLLXoF9qZ8suYye55grX3hYbB9kRCq4bokPtvqKnF1352xvNoNxQQIpQXJ31zN3NnVFn1
gF86OVI1uuzHTU/xBPneru9m+5c9w/TE0KRe14K4O0LosZZtdYRYcCH2VEdAdfVg+X19VqdH02/P
ytYVkqrFYCymH1O9YFGQdXnQcdoFtc1tzTAG8s157e6IxdM0ujrd9zaxp7PeLfmuFLATnVosj0XD
tTejs/zQEKZ+xBKsvk1gdj9JL86PvCDJ/YoL5ZUNgBHOYqkiPidj1FRrcVhInu5bUTgwlKdGvlCX
XeILMvi0aLeeaFe2PyyNjcfmVagXa6Jb8eqsIuiqfnxwDdyZKKPKYTMyZ4HHVf7XZmascHSymryV
uUgheDy3q5wvsKgfWnTKq9mY6TfT4/O/2X63Wy2F/UEn539xcqlf/FH6V43N3aNa54mDYlCkRxsD
/my53pfd1IJW4IOKNT0FEYnAXIXJMjI0YwE6tQ1XGoIAEIMnq75MHVKRa/GoQW0l94nhweyE8cVR
LNdCfdSScOgc9UnubuWuqnl9zsBbFIcBvu53NpUs9Qp54izB6Nw15nvBlf1YDjbOUgrpn42+GJ5S
d3Sv+L4Q0iYsacBaZPcy1JOP1Oxul5nB9KNtJlbEhrE8lXmDmsinx72rlwWkCYqfCjEogeWt7eWk
pdW8TwZjvs5jb53M0rxlfbru6wJu9gHoRBIpgc3EytfskZOtfXP8qfnujbX7S2E0YtEykm8nyPYD
9aOIyaah4wHfXQCAntU62JFr6CNCI99n6GsDNwVDFkugD+X80cIwLUlVkmkNnU3DH5KJ7mtCZVjc
uOSyKMDNQU44hfxVC7xPVOh2r15aO04smrT6bqWpt6+7NblMRuKdZ48SmnLd+mPme0jiEpiqMjnf
UPPG8joK3b8vvGq4SEON8eQNCNONBsp1xONSCIlWXrrcZOd6egVKhmupRVdmdaixox+sZXps08G7
2zRf/dStqZxuAGOOaxDo6blcRu05y2znDQAljx7JcufWwVLUt4d2C7N0S+hj173mnj2qdaVruuax
BBBdeqUygiKxvb07ItDxnlhyUKe+RgYYnkwIONX7gBZBKXdufRA+aS5aWttfPIRwLD6rdbdQk8dj
UJkPGOf0ME3qy+0XSOjGMvYb6INZ1XnkF515gZlbHFMTACB4GsBqqWm9uN44x6urISF3VPNoToGI
iTM4xodoEhXLh0hrrJYYsD48unYqPsesL8fAGNstmpbZ/2JQzcfCazB3Ol6mZ2jvmeCu2ooHmXQJ
dMt59R/LtHb3WEabcNGtOy8BExQ6ldBxUSDPCmc9+aPpxXjNup+Qhc0RqioydDJ27oHFVxsO5aCo
k1LDQ7uV7YNUbXcAq28eVgvxYbNZ7SzL5m/7xOjdV2YB83m1/ALSqm25v7xKm94qEHC7RLbf7K50
Y63wH4E1DAU/n07dHnPKAJF1QUspxgIQbdtrR6c2B8LVSLbgXnAPfuZtX9GhkSfLyZxW0GMcbwoJ
i7em4DpVSPshYTbdGTmH9eRIUbDV7t0isrqN+QMnxHS10qnj0t1/pb60uiePK9owYVW157yrdzP0
VBQCrmVabrgHsym9e9dwV04FN39jQHNQmwvE9E6BmmuLhA229M3ANXpDHu2StiTe2YQCmxaPQi/W
gu4+vWF8nQfSilz1npy+z4Jls5ajoyuyjLJjOVpiUubN4bvIqluG+inNvdR5rGC8YZhemVSpxzT1
5cusl+mLLpvyRZjMgAKzggAO03X3rRz98yYdppXUTo6gOvCwpEAI8FlQ8obqPCdH+JQoRUQpi1Mx
Yu9glWfkEyOm3xy4d6bDTwvO/uCTwcRJj03B6ry7ZIZqgkOsP9klm2Oi8tYFgVZd/Q4R2Jc5eJK0
W09ZTcFkyuD/bUNhL4TznDoQhiczv5IrMPgpxamSrvGeY0BGYwFrRLMSzlK3ItmyzeZRQU0K5iWD
djVpQ9xa20efKWQT7dGjghI9dXaiklA8MjqboWasl71OS3AogUivXBHOeWlUcVmkL/xarN2kMC9w
S54iq2S40cr8fha5dRls8WYMLETXeZyCVMoyktJDh6xKXphqYQ9RIU3gzWoD3IL1iY25xe7P20HS
UicWHveZEuZXqyeuGnprU4U6NaQ7g5xVuGkrSXo5WdHWKO7/oiLwBM90ywvrTWnmiuiJIaKCVO9T
9nW/OpkMW6fGa8nb70Oju53sfvIMh8A5tDDmT4jn+iWryhzc0iLCzes55oYsP+atS+xyGLcQV70d
KjEtQduM6bUmQ7/zZaHuQRCWUeGVcb6NFfeEth8RInF4/MuN+X9Dnvj3a6ljYvhgZ2jRlM398M9e
6ixBusgnLz8W1cC1TltdViObx1PapgH1i9BrbqTMUjVHNmihv//if8lLcCt1TAfq3S2XZdGD85cv
jouMLczW5kdjbfrPrejruzYvM5Divnz6+y/1lwDD7UvRYMt/b7fff88F5riwHAANfKnW7OqYz4gi
D67S5ufff51/AxjfvhBG/FvdNkAU5688RtkohQvGTY9Ti2ZNgEgcnQkyY1nn4wMAOWIas5+xkVei
+mjdlBv1sqXZvZZkt8s1O706/v1b+u9Whv7fqxTD4wiG5m+IN/BZP+q/+Dh//zN/aEcIR78RMXBQ
0m/xVXIc/9SOIKH8pgs0e5g24JPFzWH5D+CNTzuzzj8iBMRilU/VPyUlIX4DoA08h8gtiUcyvv8J
8EbcGsv+NYZBAg5eOJ8cmqO9W2L69q7/l4RTi75uJonK7l32VAaSa8Uag+DLrSzVkQqiGX3rCOZp
Rm1DbrWX1ITXXNLc/WNIcBChYFRmG8LbgO+UbR1aOaOv87n1Jv65OvcEy+RW3TVsx8rXfBPdXTNs
+o/CSlc/MCa5UgEIjkBF+Btma59rTvOCx8zFC9n583ximd0vl56nZJzhsucGzT4H/6AjLy0f1dCY
EiBmSrvTJ9XmAUyTFBm53swIjfd9nkwQCmxejmJeuZKpgnoEolCIuAoyyM73+NDEqD+sBoST5ZeS
nMaRQdM9aP3UH+emovWVa9r6OHfa3iwmkH6m/7rUq7XPtHJk8Zs2t+8Kd8frag/A/iYL5wmwi8w3
uI7fLBaGwYoGfnI0gQPkokXaCH4V5HXUMjYIAwdHgqYc8JvnVda3yXjIzdw+0cwwPAztUlBMa7j2
J6+IOksaBJL+eXPa7QiaYtDE2e3TVcLVMwIQIM7a7nuvzcrYXM3l0hSizEV52zkZBlw4DELVDK+f
VsXROhTcMkg8YcNq58k9IwARxN9C2HaGiQiUyalg0+SnPSyAo1FhlpqZu33aavCOG8TKfg9juG4b
tSYn62yZxtNAU/ED621t/eHXVDj/8nE5/FKJzq3jalI/XUGXwDOwc8b8lpohr+F+axcIBtw7/flu
4VQ+OdhteKF6mWTsdafimLP7s+K+lI80i/axTvkx9gW53A9AzYIbWZ63JcvPSLUyhYFjGCevkE2c
pvq22/Jc7m9kXSNv16fRmUTORr80o/yGjIRCOaYnzxtdEQqLVzs0Kaw+oNSwNSktZR+rVe93jLnD
R2O25ac5dobFITs47Cq7m8DjJZRzp2PR4zEcfOM0WFhkhJWWzBRYQw6int6zQsxjuDXCftB4BW3m
gzZ9T3uhU74rqh1GZW0/WwKjK1/ugrzWAtQz1se6GY3brtsr7oWRuKwJvIUOAkif55vHjFUREmFE
JrQ+zotuX3M6Otiyj6W4Ixi0nWrGXBYkOhefKfvge8Q/q2Oamsr06mT0lEeTcO6IikPmWWXynvWZ
v4O+M+9ZW4pYdrI+TYbbvhBYutq1az/e3tn3CI165OoWptjOuGwFq58sp+fFs1qbKy2bXV6BVv/V
GEq/b2yZfkvbHNRDJ6CDzJLKj5KljMqddF8Us9wTFU8CbFt07NAUs2+d3v+SCg1dEzbVnSfdr5up
39dWgeUYM9Gd3Gab077TDlSELBBRG8qVC+iWWMss862yFVrLBEeI87HUrScHAkVswAj5pbke9o+R
V2Mnt2I80vzzSRzTx5ONtBZpdMz7gZwd8aW1qN7FtTQ3n8JT6TPmlFRHwO7t77gt8n2NlZi/o9WO
6GLATCBiBd00l8dFx4QlaeQKPcoqYvg0686qU++w2g6I0rZm3z7RkbYb7dTgjT6N+dnws+mZex6b
L16f52HtHnlbY1Ay1Z2/0K1ly8Q/aFR5g7i2Ovfk0YPu45ktvR+rU2cPfunlFAE29Q831/2o1CH8
BC1RDydWjdBRbIxj4hRPMPO8I878NZK8u78YGj1m3MSUyRXeSsDxsevTC0Bmq43713U76mOI6gaI
HNY7JdD0RGUTZv/FEEUEKsF+g+zvE31qt6dmxSkl3H6hBH1gBrSK5mLSm06M2F0/tbXGg2ha468U
IwHDe7fFTZkNBNdM65uJ2fZ+M3L/fl697UHVdrMzSvz+JovjM/06+hfuW5tE1Ollt2uaIY2HptM/
iDP1kVin5oleONrAFBcJYEsTDblcSn6xTdYP9Vy7b5Y5blq08daKNx45YQYD3wm8NFtot+bJ7y1Y
YFxvdi5mB3uRT6TFTcswX8jJtmdvsbNT4/ftQ2ewUB5JjPPK+pn6mat+/GLjwCwA/idZNOiqJM8F
LDpMVvBKhsEdZ+uVmkKCXj+rCocsIyv4WdtsLlhWgaBaXX8HL2p5LF0tRrzxLx025zzA2pslR4va
z0umG9A+za54L4fZfC6Gsr24rYf1ezEG9Ckn85+Ev2Kz8FDMmjXJUUQSsYRzluv3/dzK1wrt5DX1
6v4Bu0HytZVJfp5W8DUZG4MXoxcqpmO62CvWj3Gixg6xrwb9I/hpEUa4io7HutxmfL3u9AIiDgE6
F0MdaQgzoWOLJu70TH/o2EJYseslzaleNPxb9Pyqs12oStI3Que61wiL13FcvokV34A9Y2rGxMvt
GV/udjJyw/k0+fu1sEnq/AGGxMI2Vvdf1WbjpBUbB71X66QUh3TId4iLzp3Lpu85cec+DTRSxhIv
tpeLyFvWu6lr+h0SPhCd/z8c12M+qv8i5kSVxo3o8X8ejl9/DuP/IGIBjC//04j8x5/8Y0R2XUoH
aPokRgQlxBIWf+kf61XP/M2xTWAs3Oxuvbn/smUV+m8OLl3I6GAfLQ8QzT9HZMv97ZZl1lloQTS4
USP/kxGZifvPIzI5LIeNK35i1zB+T2P9eUROlSAMWsC8GoAgnRuvtjnkzXY4EzwRONdGZhju/Aw+
Bt3XVUqaMV+xtOnGcpBZr/H0J2EECcrvv/ge/44PPOtr7o3lHi09xfeFC/XcrHa3m5xqlMhVmX0c
EtzTOzpCE+CGGmNd4Ht2iZVQ2k40++B07bZaDx0V6rUnpxlVJaXFrPLSF844Pwlmu09C3ym++cvy
1RjKxAlEMrCJHect5EdSO8zcejSKYnpMMZ6eKAKhlG2tB5pBGI4g/GpJ92SrLr/jjxgtXH2XkaDR
HvOkLYYIF8xy6K2uuWyLqoN1sPTXre/nM8KTeoZqbe1UP2QPJua8LvC320+Oy36IzcrJo5z8MARD
m2MlW1T1Jc1se2daaxsWA//Y1TvjzJjx0sjGDlLk0osn1M6bS6RtnkRROjczYMVcjF9kW7gPSWOw
HYE1wbbS6YWxaxS1VRyN2kaUJAGgxeY3NjHTsiftyojvWeJhGRn5GkzspkZqKVmt10nSQ2zk2Z0r
FJjcKbtPibOOkYnJsYzcGRa5wEcWUAa1ibsR83ZCuwPjsOdg0Uuq8eAv9fgi6MoqAuYdI9Yw/1GO
rljB9UNt8/uwp7vNo1+v0N9yQrHRxM8Sw0D+mtRKP/lL/6KkQr5iWfjeL4U6UR3G2Ke8LLIlSRRj
tCOUrvRpELVFtNxtyotXVN2VrSk6qV9Wmcu53zikegfnQVpawv7Ynd+SPmHv0jVFbGMTu0M5+Yk3
OVXoGJvDBiRPidYVw2n12WcWjhVaoCPvAPBTGW84STTVWvIIFPNbyvY0tEdXHjNEWux4o17OjyuJ
3u6jRyR/15du+kXCzXh0qtY+34o/vkiuN5Fm19OdPbCWweZU8ZItxF4uk6m/L1h9r+xCtdhc9J+i
rt7dZWmGEGtad4RBMpFvxVCHyxPHEu4H741ze3reYJCGEB1KxlCw+/gRpqnifJjsYkdyD2ZiySLm
PUvBdkeGmnL6NDQ6ygJ5uzBt/JZj2x2rOK+HWX+k85JEFwfYXdtxCScDolhOt+bDYhtv2+C/6fhu
iMv4QER1unt9J2995p2s6/coveZeT03nFZT5c5q0P3VzwkxZELGPcVBiXijn2bvPSkEKzPfI6GaO
eUh5Mj7xN8DQsobsir55hnS1EIonP8SbWWSgU9NhMS+DP2zp3kvWPsXq175VudZOT+TySCbpw67Q
puRhnmpY551sL2q25mggE7mbdB92qZUdJTNz90iFpVcdJlzbfuhhcjhL6IISNCgNZ2TeGxuV1Epi
12qyY8ZFLe5abjOOq2mRgYP6VfSVsoNxI/pJ124KGHDPRuUGiqZm004UF0ZdLTtQrFSLgpn6Br+S
+33RLWcvd3eihiWAtGVMrBQFenNf2I9ZUxGRdCRrbpAcZKzgthdAl06FtAATTFO7nwVLgdmo0gse
0YVXoNi2567U7aONQn1ZWfd9JYWRTeUZoTGNqnJgl5injReTP61o9TxjMvhmJqsTNf1gHtct2WKb
f+uMma+5GKXVgaFm9wQLpCFMBbubLcZRAj/iSdV3j5bfW89gR8igOOznM5tde6jaTe0TjXV66JdS
vmFMmwJGmuVsC7JtPCDeaRugeG2eMqDAgDN3pu1QL7fN13JL1S/QmDhoZ9fdZSx6SmKA7bRfk+FT
JE4XOW6GJp85tYHwoE/HpALe1zRJf5eX0zsHC+aTsSRBs3Xo3GXSaFswtstCMUOVj58moc8ydoU7
3Ikq8XdzanxJ0XEPllbp55xdQdjXXrFn5qyCbOsPQ+vpjKu+F9duo0Kj1uaD2df6UVfAIhJfZkdn
EWsMY1w/E0XQA0Qtj8lKN/GoGf55rV1c4WZJ3GtToTukbKBanzBk0ue/plxNhILxsgVVy7N3MeYy
8i2zO3a+UW0UBMkuYr/20BsYQ5rVJFLGR/SStVRn5WAGQlniA1Sb9CPbzI0TA2qyW6buvFZVF+vb
Ovywm34N06pd4qIsoVxY1Adsk8iO/eZ/9/yxOqZ2/6PzU6iOcvlOY94U64YySINw3Bh9dvTovToA
VLaiKvGuM6YQuiqsq1WZdeBNs/0I8bXCvzdcU1U8TfqgPS5Z8bDyup6S1WbDoZfX1K223epIthxr
ntrYYMEy7GyM6JGgXpKr0TyNt02RehHEYYNl4nV96iaizicupQpb7KCnTWxycpIezFc2EqNuqTQL
xNIoPSbetukxUIB2+1Jx39O+LYO5KkwwrrdFuU29rD7L2sWJLTHPitgdDUMRKMq/2C7Jr2ibN0aZ
QZbiOkuj521lG7Axua82gU6s6qcijgI8E8TSPZs9LYvaot9erXZaX4karCcXY8sZkz9EBqUtlDBX
tErDqZDzCfD+wqO/xFG1ztl4UFRbxJA12gN5K+cDHa6IcNERMCPFQ8e66VZP3jblgAnwZ6JWxq7r
LztleukPXJHafhgX+2FQXsdmrzMoiiDgHVSsJuFMW7xAUoHgyPQ0/SoIg0RuQbdBz7WToaOyxCHv
NxIZOiRf+kEmYwk43cDVI8FYuHCnKosBzEIECUw1weni5NJ39nBbQHoqY4U4uBSvQg3NTooEZhpt
3jBPR7xK05nAiEazS+cw+CW3imfdEv69YWOsYE+1dfmOa64fY03e8JdakwPVo9PfBhugc7QWevHo
ZX33VPjFMrADxvjRICQT7UtIlXq6c7ihoElTy3XWMVL07k0XU+NrSR9dlKA23VXs2O1bJlN926xc
7JzBJmyA4y5g9QMj36thSXSSzT6O6/mQ5hR4QH/l9kzsq7oKdatRZwLq4As7ZLwFUN3XJKEpOm11
BLh0sjxKEpSoSbFI6oJzmLrfeHhvscWLdMZP9F24kgJ019argN9o0gWl1LFM+L3M4mUkbE0kGk/G
SBN2e5Naq3uW1x7FCTKbYpzZl9Ze2h3BlvFumTBLO5nXsnpm7/M4lNQbxyTebqknp499fmkn/D8d
nm6Wtz/A9WTvPjP3i6kc95yIrHb+J3tnsh25kWXbX8lVc2iZwdAOauLwnj3pwUYTLEoMoe97fH1t
o6R6oVCW9DTPSSgzJNLd4YDZtXvP2SdIIJ9fd4LSbIsdMvJvCmEz4l/c175Q3QsIDVL5Itva5wYH
fZMEz1NrLiuy4DR13lRtjRPIR7idCUxK9hLTv8mJXflqGkTK9uCk31lPk3OCIH23NJbzOo6AAYIM
83+4N5okJmBGIGWMaLbsodri75SV2tnORB9lcTP4CIl/8GdSV+x5HK9Wd5zQ00e4jl0yVdJymoPU
xi1TZXX8vjQTXiLUz3jRkqrX5tO63TUmDcWimglUZmS/4/iPhXUU7geM5/m67pL11mvW+qnW3WPS
0sl1opXYXfxS5K8Rpv9oay+pfyb/NjwDTsSMUofN3uV+RYYUOQ9q7SekAwhDzFXwAqttbCDC17ul
dCW1P40l2w7JlAFbkLE0F+WerEX7QCoq4joQI5vaz6cLLnG1N0S76+smvUsi5uBpWoy3KXTKKxaJ
ccsDyMPijsjiR1Y+lbUJXqEGikSR0mKxMEIE2Qg7oWLISMUA5b1OqFHyQjQUUPTv4syxV7rc8bRL
msH5Zeyr6cMp5tgLanLmb+AnzGo/tVa1/8/5///n/E8kmM5o+L/P/7dff2rfu+wPR//ffui3o79v
/0BAKwJqPVwVDLr4fb8d/T8HZzYzM8cDWqJxJf87HFMMx5Spz/xoq70/pEGIf3LSx0D/x5O+4JDP
rMlSpCgoOlXWd8OwXA2GWMJ4vFbF6o/xzZoRjEYXSVlNupTXkNmtBd0fYM4YuQz2L9LMs+lie61z
6tY+fMoLL1w3JW//ppWpc4fQxbme4QOBpQDyBawoZ5xiqhYX9ZoMr1ZXFEQJuE26HU1/2PtkUt2a
YBDpjLYRjsaR3BgSrroAC7m67aPCDqAtNXsxesV9lonyvp+m4dEnoB3jEdCtZ5AZ01kDhofNDPj4
FTkhdH4RG0C1wA895rFXPLZmj8Q0W0+swDMuNze6dxp7fRQybx81bnuPiMe5W8N+3hmT6s9ZzVRo
hvkfjI6cd1ZMQblJkL1eBhzo765bNISbVyHKtxX8UkMX/95xnfilKbJhCWgo1lsVjebej12mP3YT
P9qzk+5GYXGKN0Q5X7fRRJe/6b6gdgBpxADKZYDARCkQql4vZT9kgZDzT9k8419UrLYQ+cbkuknK
NMMYanc/kgrBCKDhO/ySZ2lx601jvDf6eD23BdP2TczMb5uPnqtpT9hc09BIdHsiPRp5dIeLKt2D
jMkgo9js+HBZj2KqGCfEHFlLQxLeKgvH2/SA558oPId9Bo0s6JFs3XnYP48LwoAbtxHTNQ3R5chw
X72jRq/OGJn7JzJqc9Ks0ALtaB/hlm9j9tqCluQNpCixb6RrbIFElw8Gdd5Tv1j9G5Sf/JcFEcjF
HIdk6zAAvSs627hVHKQoKvtXrhX7JJYAn5arV7yqNhn30qvLbUmvFh13BqJQ2MbOUO380Uxdd4eI
DFrb3M+Br8ak2aTcOCgKkUD/DNhjaIOmJeJtY6yKw/NMebOzmC486PNxtnH8pod5S61eiAoLGYRM
bK/W+2iO3tUnLRlAUX1rtZITGglTjOJW8ga6aN7P0vDn3cjw67peLeuYR7V3pIWef03LKL0XNaVy
kkXrXYa2rSYePTR+xgNJelkYddLfNJMDbAFpxnBVJo5L/zKOzwlz5Q25AelWA69eEzLUXto5na8d
P6M6trrhJnFrm65Q3YwPrRGtb03OsBJJUD1fUQxHF5+e2p2H3p6xaXQYR7e8TyDCPyJ6NXeZrXrk
bOOKT0jK0tWBWXDBYkIZtk5HB2TT4cOfNonn0KRP0/BE0mZ7Yl/t8g2VKtolJgBMuakli2eWkZq5
BhLqkhpwNw6FveMQL27IU0LRhJq6Dhi3eDvET81dERXRXRtb5tZpHPVjnuQcBXm255cujIlUnzm9
PzlOpqKAo7uxW1MZH5kvFedhHRG8FwZp78FoNPa4L5Gjk1NAExbre5kVtwb6uWdXlog1XYcMu8Bq
mpCVJEFhuBbVRy6F0DOqYr5Rq1vQ5c/shIyrZTSeo7EjCTwF/RwiGYhmkKwyrQLIgI25n7E6ccD3
6vnBpAn60nZhOVBJUl83+9ypbDHfSFzmM74EFRVIW/ZMJiKaEdG0OF6EJpf87id6lZRzXzhG1f1j
r+JhhNwChbk8r7UJ7ifoaXnN9dYazWx6atM58n62IubFJWCmXEz2lwKmWePuvBo3894Yhj79WJA5
yAxngmxbNi42t/+IZP5mDvDJ8PzrOmD61/G9qJGltWihvn4WF6eP//6v337y9zkAHX38RZ+wM93o
/60QcM0fbIxPJpYnHNjEQCHx+l0mQ/mAegXHD1R4qggtbvnNeWUxOcAvhfsD/D7KFqH+SWXwvfQL
sxW/iAkwsZ6Ev36vyLIMZ8Ye464w/NGJqJUJrulEz99clH+jo/vTmEG/CHMLjFZ8zj+xsPtqNGoo
yesRFXWzmd1uJU5jdAMcBP3ur1+Ksupb0Y+lP4/FZXFtS7gce3Qd9I3opypYkdKIxNR5TIjbyBOE
BCaWXannwDlo3mMBCuAwr7bF1AGn0F+//J8uJ0ZScOYY45j4KAx1f3x50DaePTkmSuJyupiF++Ih
d/7rl9C/4lu6rKdfwkZ0BX2bfdX5jk7XtsYyiFA2R1tOF9qPzxyTq2CAwo+8pvn61y+mvO845hYv
ZzENo4K1aF35ghvx2wuqIg6AM1KAozWp5oxbR9YBFpPinNksxjnAKCucGsByUdMLZuJY5cEN0w/Y
FBwYWzohIXNeM2KTi1M0NZA0fJKZqtHHyJznUbVhvaXfYTaSXI4i9unO++YJl7f6yUynA+txj2Bf
J1y1vTCf8WVDCl38odhCt1G3cTMwnicHcztwKH9eEBBdo7uYGD5RZTHcbfzi4qBifkkWt6Jj0jJL
iSr7zu7L7NGx0YSNdH03xNZEWH7I2Wa5Drc4Dhpg0QyuiPpeT2woN9jGx70qil8sN3+sEutn9EYP
RAwWKI684lyL+ccIlwovwbmOGS3sNch/26xem0PW2Pg6aHTaXTp9RYTSnNw0vqsJ+0Wog+jHMjkt
U5E5tzOMGMwNTng2I/XsGjI8p3HSB0ydNaRoBOZq+BdmWcl2kWmKw66JLr0DrW3wKCP9MSLLJkIF
PIXjEUtXuEtJP7lBnBQMMf7tkJyCKxsrXkZ0pdEvemuKfOxmKaivhMymS+OCxI85ngQmTe3rmoQs
WIi1RNdUzm3rfLFK13iJs7G9KytgdjsPkPGlkhkCqjYZjrj5qKDbll44+QXxVVg07U1FN3tnliRS
okTmFima9L6paMOmUyl3nIzN/Zjk4tmqyK9dRoRbRpyYw9uQMC6LArHIa0KZoksSo6sok0rSk2dG
GTeOdsglOpDFICiR1k77UK9oAIq2uw7BCL6hk+8vFhSYI4ZreSNn5RwLOgaAYpxkP/TlfCjJro1R
vtBxS6B1pK6aj7Tk/QfhROnBUHV7s0ZGdU9C6dbshuUGc1zdBH6diz1TrOatcmzqTExZVPeznRxa
3xqu0PRnGzJLnPvE7fZhqMBoh70rcdNE2HFoN/NjL/MYnem3NFjPp4d6yb4gKePcMKbGwQIxc4Vg
OiM3iIDXcYimB9Ks5MHUiawSlDnNx9462XVHXutndKuI7OqOGQaBrgPjGo/0q0g8qLBZ3jtsCToS
i9NelBpXfUQyrJp9HPA5ZRPgBdivGCzcbSMaXi36jJb18a3B84HZH9YxOHWdQetlfRmEOpc2CsPp
aqarGrg6tdbB7HmglA559gtjY1qCQ1M4cDKwSbxVBLyfMVnJ69lXHsmrjv9cwcHh3ECkM8OAdxWq
F1/n6EZ9Lx6TeRFHc1Q/QmG8NpjCPGWVsGjScKUBipx7q8KLolN6VwtkWqiTexuPwClnTW+MroEM
wtRsC9z4gwwouvQkj9AwDKPxFBp0yKUhHgCp7HudFcyAiRAnv54Oa8avjZhPfGml4RYsT5OxrXXm
8IDR5b3TOcSVTiTu5n1TR+pi24zJSpnhzyzdsbsfjFq9s257p0TnGwsZc9TQ9XYcQ1BgClOvt+Fn
KLJikkxb3suvWZBWhN4+SnfTfmt1njLiAWMzITIJyNmheSTia7Qth5gNAEAi+r1NFMHNzgtZ3naF
d8pH80tW4NYzQwkqA2OD1XoIghh1b8OMtOeI2OdQ5z+vBEG7g2m9D8Kqf0oHNd7VHNf9ja2zo1kS
nLtk4ZhBkER+cnTGtPIoj6tpnV4rTspo4VqdK4QZZiEwmgcIGMusxZBG/iKnRqBTWS06bKmDRQHp
rST/m3GfnasDXaye9j73l8SO91HofOxMJ2V3RGZn+Fqe7diGTebje+KwxtBTWjPzMoTru1wnbw86
gztXydQA/yE5uOg844ir3AEW4f7sSkVvYfT53puQVG8v9dxL3s3yAHu52LWmxdxmXICdZzoq3SEb
HJ+uligM9tHubfvOSWR2jI0o+tGzd4VOF8+XWPfu4vmLZOXamhbmSS5SflGkogW2kIzijD4znyyC
yx1g5i89zusf59GJb53WWV8YsGyJVIQQmur080HqHHSdiM50Mz1aOiUdOCt56QSnIyIwUQqSpY6n
tTuxP04MiBVrRoNzy7mCMoFKeGvm3fBrXfGfIv9vi3xiAb6piv7ENL79Ov3r/LXtvi5/rPA/f+z3
Cl/9QIqrQ+1pMcD5tan3e5VvU+WzoLkmBSksEIrj34t8ieAd5gGxppRzrtJNud+KfOX9oKkKQvBv
ADQIwlf+QfgrJ4PvikZfYOayyaD1PIKzeBz+WMWZDcmWarDboz8a2AHLVtHpAP2fXZEaal8hym3G
p8ju4AeIJB5OY1L2D3FtjMUhAwaSgbcZ4dnhC8O8Fg4K8CQcALOeoyACCpo84G0U0GlK0tt8lILr
bEy3USYxPaEyCC+ziTqEx/49lxQc/KrLyPP51GfV+tC1/qWqI8A9JQcCVAF52OkYv26DnHe9GSZN
MeBBRoUE1ooJcC9efaIDSXY0EvOxLKfs3LXomasC3cGnDWhiok8otTvfFqSBb6Uh5WO4Ir8oOsP/
pTNbaGJ1pfAvodPApDamSK6xygJKGOEJrlPnB6vVpZBKuFCfaT3EQv/E959Aqe/4aaa7dEIwtnkH
6nUfmUYxnFZQQQHkZH6ws5lYwiTU4B2n8Av/ZUzXJgrK3BOvbgHywalHP7AZgR4LAcu5nzo0+cbA
q0u4Dhtoisu+S3qfqMxKDXRl/BaJVJKge506Djht6lEDm3VkvA2DwsDZEzS5cVBrXbdeR9w2so78
eclyeE5jNMjXttBFdDbjNmXXiOc7r86NX9Z48oNZNeE5i+f4w2CxvK1pYRw+31+n3xV3dovUgz9P
JqShclMioA5cB2/9Hs1IeRiGZQTIV6/Uj1zkzsMRS4qthkD0icm2JYkI2Aw9mebXMPHjmIRKma1H
mkytQhpAIOhBrTrJPg3BxpVGlZ1XqzqNrdUTUpmOLJVJZL7WhvCcvawXD54eQePHoS+4FwA6ntOh
67a8OijDrrOTneXa9hNC7/y5JSn2iRzj5bWp4+7ag2R4SYm+2UP5ap0thag6l6RWXoWNFb+kCyxd
oCP2FUfWJPCwC4N87KneR5CVQcqYaGevZlcebOEDI7AbrR/xGVuhdF3f1nJaDp7V+Yc8N9UvkwMl
Fj5AUVRkHZKCto3MNMn2fir6+DbLK36XP+T13qmgCCK/Ujj5CFBsKzfd9VHWPYaFv9wk65QFii1k
u/YivCkcopsJcJ68g+x9uW/zWD3nVP+HwiPNYJOhlc3xNiaFd8ik6J76ynq1+xzemy1eSm9e0oAK
W0vKASGSB0liZBGFax90eLb2ibcCIHaxvqA1wSUYehgbscG1gMTy6r5z1uKhMxTijGUBLZBY8jxE
JY4XWJO7AlKQxkz2O5NA+TMW7CxHzz+pYMpt9QVjBYdE5F4zmgkIwdOM3N8iZC8oTVLBApp62Z5o
93lnVj2CERGmJHFMnQFcUXU3A737O2YI2RV9SfsegTkA0XjEOS7cTmB6JH823XiGT4lAtsKwnWbh
vo6rkdyEUkY/L22a0sQhH3jhq19rHx4KaSqMzGUFnnNJCcoIBD/zvhLrTC2UtiBao6ponhpISulu
GmW8G+IR9LWRlesXTO2C3mQT344cEs4r80Qib+3lYDaugO2CRZ5ZPaNm2CMLQsMNIj9oYuREQrws
sY9OLBRyM+ST2I6Os1xNYV09xASXvvh8fkUMwzqnJwRvbrd11qg9D7ihOf86OsBhohJHKECqxEY0
A/qw2K1IPSnrNmhzM744UGWYbeTI7s22SK/GPs2WYGzRQorUhIWqnLoLWn+cD8gLygCx4ju5Is2u
TRbzVHEWuEVqaFywkrL4D2a8MsWeU9CCZd7XWDbX9p58FLC7aP6pD1nMTYfG77ZzhvDtc2Vpsj78
hVFwds4rnlBSqyXwU/0U1Q6L1ryyRrVT4W0dQ7CsjprOhyycHaatnPIwRyzPNIBNi8dhMh+lrV8I
I8G8xUjNO8nHbL2ZBJHFaC0Nv7ylC7zcQkSslm1VrQQjDxCFWk/aV581wH/Kpb8tl2hl/mW5VLV9
/K/gva3y5Dv/INUOP/p7yWT/YNnUOOAVdRPU0b2y30omDyegqbulgmQF7b5FN/1bzaScH9h8JNoI
j1EjP8ZP/V4zqR/4TyV+ROVTdfsYEv9BzUSz8PuaicYXQCjCqUyPaC/3uyQlV1tc2pwJGi5xstsk
+jAiYrqIfBZzbBn39GMtqo0n3BjYKzA668Qi5oNEXLnpAnMCsLZn0Uf9V9lV1DCJq+SkuWxlgdol
Vt1HkdjeNWNZ64TBWd5yQrJOvQWgESsgXQWgropSTHJqnNAdsJDmlCwMcL1r0t6rtxIVx1stVhJW
IJ+Tx0wrxbuWMUc7yD/ylroDAHRVRo6zGSrTqw9m7sbtrssM/SOf4T0ZI7J7s+n9ZyoHXnhirSKx
uPPmxwh27XORyPmxTU11CjOd06Tq2SVSxyyzCtZUW3lnx3e7j84TEtB4gfSESF4Dcd1nGrWFX26B
2jvAYOdQhmbCakFhmBGZY1LJC7Uv2e464KeqjOGoxlh9WSdvvi8VuVTIrhGgg5WTt5HZ8PmxBIfP
vyZ+E3uuXXR+SuABE9zuI20TrsCvKdaYR97oeYhxM6uW/8yaJQFjlW2/LxE/R2uEN0D/lHc7gRG+
FyrCchKi1AwG5TD2c/yZT23prDQvU8RYpYLP7uc2esZhEurWsaDZlsTR3qrMSK/BEMhNOyVQkcNk
PKmKKKcSxLeGPOjrCbgSHVIxF8BBuK/5m1+/0FxEJF1FCelg5qC/YRph8z1fade9OgQmzteTlpNu
Z4KZii2ckyx5MAqTj1ABSiTlZ4z50+ty8pbsfCDabiK1GM3lZyzSRIa6jaPMjZJD0xc2yG3dIXhh
5yXbJy9WioVxWn+JQ51dLsbSf17y6bFfOxtdTwzNnGAPcjJYaR+QmFPvgP01gloW5qW0uAE1LIy7
tuBGz5A4h3tQYvymNTT5042ZQfNOuIkY+s73MWdcWsH9yN2AeoBv1le9q3YUW+SyWZKEKjKjdaRv
1HHzGSaJQOFo8ugRDtV/YCsnUwuwBhHkU8ND6PozX3CFqJPQJz/qqNPSGpBBCVMzCTKfPWs3coti
UeKxvK5qn9KESBF1MlJ8WjipFO87QZnHwDcLZ9DpINDhtjPv2YRyIEJrtnjJEpgMiaj6Pln8uX4b
9FfkKXiVhQ3DxpMdvwwLUXIgTphsc4tYz2Uc/V1tyfoNLGj4/HkLJ4bL9c06ug36YdcOp7fQGefH
SQ1ckkmH7X3GFRarSTBdzCB/rzOKIWn5XLieGCSF4Mfjhhngb1zlpcNffz4SlJDJAbQyF28BdnJo
BAtHIpPm13i/Bj8Fbb7BkRf0leGzQb4XxKkuJXkpbaIiyFuXh9OpCN9DQJ1AALaR0U1JwccRhHIl
3cwXqtUHPA9CcIMZioe8y2DDA6K25GU0ez41kWTmhnGCIn678q+nKvev1wa29Kb/jPqtyFsACg6s
CIKw28XqPv2MfTNajLXs8Ku/FSQWHonCEpDiUv/abmZjq3AItgBDMj6vQiE+7dduGeIdgQQ8YZQ2
vKFVsWIVJkbJx6WbMXOnJLwmODwOCrPkI7JU6+SVmYF1W+b8HmiVFqJxyom0B+0iGKlcerseuILk
hzzW3OgkugDcestE2Bx9mrKHsI/Ni0ve1K2Tgd7YezGi0aeOjEPrOA8skWrlA89Zxh1l+CZfVG4a
8hIKaKTnqHIJoVFlgdCSmT48WrEmh8EySegaJ0IY80TnYiak8O4ksamKFqvFDU5yH19r2+X2uyCs
GY5wKeWFuHF5SW2QWVvGLIqBOLQuKDFdjxxTR1VPnMgd4HiNvE0QMV6Kgg4lTd46Cnejr+8cgNbV
ghG75debNJs+ogzbZxLb3N3wni5Ytv1nEN8yvbIwIR7xySLP+bznLRPPXCB6PjNAa33/I9aGmJaM
pBxydOdzCr3sjZNseuzlNgJWkXSsb23Xe1vOK/p+9Bfiy+rG859ho/FF/rqkpZ1Mii0hl9xKmA3a
4ZR6XYP3lNlKi2LIkPeWw9OV5xm9zGHi8qp83n8+ccXoWc94VGYYdY3dxvvPlZVMbenACvKaZ5lA
NUZKHy3Zi43mJwlyS69ScpySgxX39juiPsb/Q1M8yHgwAwBRH2U8+6e2rvVm0Ai9OcNChGkEs+V2
Wm0WMgQFPMEeR2DE7zH4vvjOXOLlyPKjimkro4ESYhOBQkcVWq3+VVF2PSAjN5wjLkni5w9rilZE
JJzWA1g90TNbKcGMPWelM1FUPDXZMLPW8kyitGWJqQjxNNHyYK10PqqyeK4i2Z79cB7EtFmwBVKH
qPZiWh5MPL0RkRmSX5DD1FfsMd49eg8R8uyOChIcx5lGyv7WFqq66jBPE6MUxV8St7GhXpXhj01v
7gyzapCd+nbQ9m4gXIB602YoZGFMx75fTl081CSP+PSG70VsVYHv9y8lUqKa8cTeoHlyj/R0kxbu
Y2giV3tZHATv7BMVCMcT1veCVRVfhbIczmZKwCOoRU2LwzFXQmI6Tnsbp7HSoK7M4ihlg1w8sWqC
UKxM7bPSHH0MButeDECFUSBnJCG4E5YNujCQkRcHe83R57ZsgwhA7szlj/2rXlnrnTf37rlDpvzg
JjNyr9moOVhN8oslR/hY2ETvkjXzzq4ZcvdKi6Ik9jDge2nNUaqeiRDOMNDBoUfuoiKB9Nyw5/fc
qtIvi1t8IXSvya/zprMemozYG6PvJi+w1tbH9qXGX7ql9X+Ksc2huIG8tHKT7RpSQLYeB1USPlLk
WiOa4GXGzVN4NcZty0IaNhALeeO1cbrccL2cj7T3yv06IIsDXCN2UTJ98XW6VwY98uCG049jOAd2
kro/gTZaHmN7KbeSDIC9ylzaeb3dPiDMjyl/SuSvczH/DBXiYhDJhYe66268JF4foGzaCFqHAh8a
IO3QR41Mr8TaRU13afyBiWrrUBntugIDHaGJLFGw9gPCxOpdRN1wHopWns2uNY62X3WnzB+s60rB
GuOilbQjGg6GDt2guWm8nUE2xSZlxWKGX2T36BWZb3pnY83kHZsABi8LyjS5mc4pb9XyEIG+V3jH
jqbRtQeENNSsCylJc0SgEJxXMEuEQb91CAW29ON97P32w5AQhQRIUzxi2fGuqyXvv8CYMK6Xosbt
bHguPzdRu/7Ujzkjs9A0GUDNZQP2qK9eU80nAkRYjPT4CzO7mG3oHd1JGbfCaQhfow0Mms3aI/9e
9mmVFbjoXffdyIrX2dAtEklcCCfzttsbJH1pHwn2kwWJ+0GEWRzYXsa4ETbJdmWUTY5Y3J/G0v6o
SX/cmYBMA1mLXK9W8rSAQXgPW8DP27Dq5lerMndU1y2VYCLK7ZKJbNcz1b+EDSsKK3+LQ6ySdDQS
0z2KDvwH6T3LtjMZ79gTgS3XKEIZW9ZqSDEAdQ6KwGbb2+JxnLJcQubK24VaHJx8+piEEkWYTAsN
5li7Mfpg8Y/2cWo2OAuwWoYg8WoQYyESgQo95qF3YoOFqU0cDBTD9GwwAvHY9kjPpu0k4y0ocU4g
cbNznba6STqeiwQIxTOGrfy0goZFir9k+3XtV3ozgv+burimUWh9maLZ4xZXRWUZ54Rh/whQfSgS
/2cSBaPrqCluaR91Lzpt6qpovRsnK8kiohp4KjDuYWjEKLEhSyVEKNo0S/LSOfUgTkVGz+9sNHI1
SalSqY+qVA0NvhypDQgELKjwLuz9iWoWrcOGmXDlvYVNzqIepulULyzfC1ROGt3tylgMY8pqB2ZO
uNsm6gyBCQwN5KDewDmw6+pIN4cAGE9Fe3pkdnHViJa/ZyK6wke2C3I/R7g07c4eqEHjNqZeKydk
8nhzLPampKnz5SzkOj8u5iQv1KI4IpDe32PUpT775sT/bwQ/Sp+NvxWpQFm1NcsHxBMdvU8h87eq
EXcUYO3aJj7WDogBdj5KQQiH09S6M4u06sonMC6edVoqdtHtrKouO4+WOT4O1gjoOB4n/xn/PcU7
uhO2adlTVRvYiXeRtVJNJBEqPW0Jo6TQR8/SF0SrGrDZ2SnddsZiRJ/i49camTns/Dis+lBSLjUh
2GECx5mG/Hyvt5X3ROeDl2tHKwsXW01B9teX48/cK6kt1raLphXvtnS/UyWNPr4UxQibMKiRSYO/
zENHmF6GXKC1fZvA4LqANTJ3zTuxN8tj03PobmIOpUk1t49F2fzdO/p3XxBmHZDXFgoz9pM/DoQM
uzHWgQ2QMQJTlI2DDuyxp7fy3NGrIO2FMGfOxqbZfUDtVqcac+e2nHA7HCSMO6Ibu1ofJqjQ//pS
0dn57sZhLENEPK0X06UBo//9N/otFCo5oJUkPYYVyQnbomJK87Ja69C9Wsu6NuQC+dSxVcms2tmQ
Z5b8TYL2v/musMXjhpfondDim1ri9c07mGJHVqvZR0d79j2cn2UXJdvBl6F5K+HTRRxTwvqQqCSO
rvo6XEs6mV14G5W9vHhikLcoWDiP/OPLwghR2YIDH0Ks72+gUg0hDWorOpYGhwYgpTNa0oQsQmr5
MIckbVIzDwWx0VtjjOq3v351po1/+lZ4eTgGHmQELs5348MSUw900ZVrsuQcolPZLAy9u8YrUr6Q
eME7A/zRU5fMDY2T1Ae30oLQC6i5qc07y1lo024Eeb7xsde9l7qJyvQX8H6cfkskzn9zucw/zTsl
2AQomsANaCH61ne3USyxKeGSMg4qtlkDzWol0tkb9FGnnFkuWPj9axx4o/FUmivNk7mIWQcW2OxP
s++wPEVKcjqxV4PMoNzif7I68efs5ktEVCZHSmWCY9pMpJqA4JgGEtSriA5YgCZ7jHYRyUvHdSl4
dRKnad6AHEP14HEg+Pj8dv7Tif67TjRrBDfi/+3SuYP++oeR/a8/8Fv/2RM/2DzmQjCXt3W3mNb0
/+s/exIJJypb5XziOf63/2zJH+gImxrp4Tr8Q1Pvfu8/ez9oew23nIJj7krQdv+g/yy/bz+7ZBKg
DLCRrDBBpgv+x3UonIyIEADbPo0k6YVbM10ziO91eMbdMwbAjRgRMR+HQ8+ZR05zePYYyrz5nZi/
2CWNYctJuxehyu4lmplFfXMl/80O//06zbszBR+fN2gqx/l+//AZBxK/7lundLSqd5vMgnvYOKVO
NWU7aZJ8Ofi1IK6krpjp//Vrswp/tx55munHg421Cj3x53zg2zUasB2t8SFpTmEUvhZNSP9hGhL/
JvOZGm2x6bnXaFqxSirtmpwtn3hi+sM/zmu5friDtldibVfnKCf9L3OGnBxIbcRsm8p5cD/tmSDU
7VOoPZuyVvXeEjUxe0TEbdK5QNJkjV1xF0POwNQgRxkIj+oQVYDrbodhxVLgDZj8Nqp3ZgoNx3xD
u4VujJbbhjqjunK1w5QRyvDILLDkJKUNqEavzajwmPw48LVHFcereDFQfO1ghF2GecXJbK0Ny47r
1CVJZGwDBimNIFK0+3Wh/gkyzC2blJPDslndaSSTOSTZtY5JHSi0jbb8dNQa2lxrT2m4dbTh1iPz
CM2mYA65QbCGJ5cvgHpcZcueSD7nMPuM1g3LnDqgSWbzqI95D6JLErkFgCGIyBKgB+gptFuPdslu
GnDr7Ec1e7greJQecbJGDH0/vcQrnZaLHKp4V/buNJx0uAKJN2bZP84MmuNAqglgWuJIsadtFXqb
Muxpw29sh/7PzopWHUXW0uiIosScyKPgWEIrDht0TbbT0cYRCbwbyPJmsu1XN128XWw75X1WtvOe
CQ78tsGmUrQ+rdaRmOUekWsLyIap8kLT7kAbFHd2bI77TCSY18Zxy5PqE/aHm3s1AVDQkMXjvWq3
twcu5D12+/pISvC68/MaV3jSVuu+p5Ag0SfF7hHQwJoxkmtPOVoNCfTLA1LtyfBZpfoUMcUT0GTX
jr9akxjv5KdDPSnd4is7nY4+WxusznZCqDMCUngOy6fJHXwDhneevac4MlJ1SwLUYGMxCgtnesLq
nsz1pnHLagxCRiJRkM4hImcPl9ZHmVIJY/pq04Mp8JTSDi10fmsMqmpTlzXdDLiMbfKOMjcHCFKy
B951HREs67CqE+S5dHx1QACwlwL7eicSGjx46A9zy1PRGP3PZTik+bb1+wZZJjKEZNcT5GXsKlTI
N+MiyyXohNsDKBgpbJ4WBSH2iDaB8BUjLHVPsGyLaNsOcVT/yAAAQxQCVo1JX+ySPs6UiSOympit
oC+v23hKauSrqnrvKqpWXarihoL7caLvnj1iFdaLIf05co6S8i5dB/D3Q9X4WLl8Xq3Vn22JUSa1
4SonejBdqA8jVvfSJ06KjSoZefdzhGGiqVDtJNVU00qwq7cJlyMTDXuk1RBPPMg7BAmzsRnEPPwk
yPsSBGa2NrkZIf3+oDbr6p2mrm9v6SsyV9dLuc8np7NDz2XXp59iHaMfb+fEXJ/zThmwzrNJEdIO
QoPErnXLTiCXd3sYOOyfPRL5+EcW+ZjINyAxIwtFq1yn8bUEVZJ0yKXs8n1Y+oJbp127q6pdndum
k7xjzqiVAWyCylu7sOpDg6PvjhnQ/7B3bs1pI00Y/iupvceFztJW7VZ9gE9xbMfESSp7QylYQUIn
kISQ+PX7jIS8CNskXnHh+mqp3ARwa9SMZnq63/ftvBA9yehzmErzgjTJjGguRoVo4CELeZtoATKA
1BdjbUQH8/wSjGImU0miB+WHsAeckyVxs2buwgW8JG9t5rQBh8NGuAi5ehSlifEX+YA18CIv8a0h
ykNCDcTUy/6A3I6ZDNylsf4Wo+N34+ol8EsQOfFgYvbpHEKC5tRfp/H3VMo+A+bSL3OyXZoAxazv
VnqgBKMefV7zc5PUL8Bh06PViBxD7FK1+eRMAt5y7So5hP5eDw6sS/fIe5k0q07paqVN0W+iRUdO
F6uzeI0GqYz+yDCQtOKDGszjK8i0LrIgGxib2ZJERLGEjQUUPpGuFNRTLy1SRFDq0gn4CfaZDbds
lSPVotElLYRCQ0ZRLgWVTGEWgmuZGVF5jphByeqX6/NkxDo+G9IaWj0rBKE/FdT+/wLHX6F3c4CR
iGdeDhw/xSsgDCPbjzN7N4Dc/uE2gLT0E1UlvaFBxdLgxwgp420AWVG8QS4opEBASlXYhgb0qZ1Y
BIgWIQzqbxX7exs/QuxSTUJLQ1dIn/QFeegV8WMVC+8epRFZRnQOCIWkS8RqVF3aAaSFQEQ2mSx7
V6wS+R0Mn/B0oybaZRhs/FOE9FM0Q3J5rAQ6T0hMOCLlpXVpSkhxUQla35e+Hl4pqRwOKeKYF77X
z7UByatoSBkDxD/E2VNOdOPZQgHETKvMiSrCE5X6ysr/uKZEBEJpRnrel92BBBhiOElVND1DgfZW
6bM0WKqB/CmLIOTSlt0YbqBM3qjrPL0Ho0ea1gAqVa6S4KHfoyWLqXymC94PZYFuIxDUu9Iqs/Ec
BsX5ck1rv4EyX4VjjyWdzu4mdAiDxB4Z5NBHeJYezfMAInYJMPQynBXh6ZwICYA8skFZulKGyOlu
dMB5/f5Novfkglwv3UryooA1ZhRLxUVgFNrzhqTbKZHgZLjQltqHfmJegPMbL/qQrxSgeNfICF9F
kyIczQtCkplJ2cR3YR2QyJ6cZVQzhkyY+NSMkHVZohM6AMc+hGmBNgfSUVebTPXPDK1nvA+R6hhO
Ypqfr1RjcVbIM4BoRQTlbKilRH1+sPm0RD1stC7dL/RIkz+vQ02/LFQj/xZJMYRwdu5Rnw11cgP2
Ebp0EAPbt4aCA9O/yqOJsvkEutX3V6ce/VV6U7AlEoI6hKS9DWp96ZwYKULQetjXYso26FzSkSZD
5XK8VCLzxppRSjlFsEYp0OcDTXgektG/QOQf1n0YQdH1yLDcFiFBXc/I+hlyuD2kMOgTnCr5IJt5
2gfUQACDSfTxPu35G/ryZrkVBqASVf+mVyLJ3SOjV4ABO48XySaBRDQPvJ5LDBCbMABpo5KnhkWG
la5x0XtjEmV68i2WJ9o42SzWnj+w0tjrUSdJaIUyX98RRIa0eKGXN72fjA2dzc8IsxEBOlc3iyQb
WzUvlwaskHR7ecXYhdIdwN+VazYv8vkVuddnx+sX12uPfOLybFnRgCXBCKYEWNwhaAJNuKwow3JF
H/YFk9irSMU9kKqiMg3X2K1ox2wTnBcywUYGrQkxObKWD9pmtkQcDMXVcRS46CuwkkBnnlO/+DKp
Sc7zUpaGCJDT4DVf6/lZUFGiV0s3jgakS6P3peBMoxLXo00CVanhWnCqk4perQimtV+RrhFDV/5a
CiY2nblnt0vBztYFTxt402KoV+RtBtC/pl+LYETA7S4Ey9sTfG89TaIvVkUCNypCuFqRw9G8BCss
GOOu4I6bCwMauZYKSvlMsMsp4mbkgwTnHP1F6OdzTVDRpYol00+z8Uow1dlQZ+cGO7cr5dqtNc9n
95OK2V6R3JeC7/7/tSFuU0KCocDJyMvKu5WTlGOHimyWNnuF+PRjDD7/Pv53XzpsaEty/kluhtOh
uo8SrAZVjfiQDRqletnqwfnjN9U4USVJIQlDskG82MACwGrbj3v0kIBZwS7bhyAhXvUFd5z0khsO
32Htz8PfOXQHziMLXGJs+4HGq71Ao01ZlWBoV/dIuqrtBdM64TJgZU3I4tVrd84fmgyH7/DVXpjG
qygTs3HmxdFu1CQLXksr2HrBB3sW/pkJinUC8oC6gAIjRrzIB+3OBIumElX7TkutXVBf8A3NBEXp
yyT4fsULNqjPaEQn7cSbZtzn4/OgaOBbZcsSPP3qtT8T9BMKOjL1AQSCxQsvccE35AVQHXrnVQGm
FWUIZjwiNdv5vjsX6lXBZOF4c8uBrBCKd5wEHBKQUpBhmRGLbn/k3ds3tBNKNPQ+IbVdvSjlvK1J
QCsOocrQ6VGQzRPKopSV6T9cv9oLAuraKEEolA8p1W+99La8QM5cZPQ7eYGGORwVKUHo/ee9YJ0Y
nDQF+/CtekGlhtLRC2wOFAgMqjFafZd7yyJKHCcotm65Am9rFvDTIGDSaRIgCS+TfKBMRSlLvFhh
dhcE9GwRn6EYStKjeVTelhM4Bkr1VjUtfp858WPM8ppYEcYIAjoGkVJ9k4RdbS/wrAheriloHm/r
/sn3dH4GoAujka/RE+D5SdCHhCzwDPrbiwkUIruuzwBLAAcBZJK2C+GTX1/n19fgYG9Dp1eEBr8Q
Pj0evYauFzxUhy7PSZ87m730hSYUf/r59qBRaUoRR7e+KM5g9bXrI4f4/5+t8LEK/nY+bILB6jrb
P9/e4NNLt67V3FXz5oXnJHYydcvqg3I7zBs75OD2v8D+bof27hmAAxoz75+R/PFba5w7v/9PDO+J
bpJoBQLQ2S4l8rjNVaO/GrOyu2HfjlI7bSyJnxGoAdOvq+WhHXg/4mSv/Ui9n3S2HQdxYj+0sBP1
ItXdchQ508ybrjjZ1MaES9Ds4ontanzkBPbabuuwIax2BGc3p7F38Y93QxKg4fd21xdLEkCUruM/
w+veQ/uxqWPlrpbPnZhWNW3LbBTEn10tX+Bxz2vsVNMbeVm2s66GLx9stzUBt1FCZ7sBrNTYaz+R
dZqms+nowdvrmElmRijxdrYcr9s/HhIzJMO6mr16ujYB5DnC83LFyFZTv2yGWM0Lkahr3ng2e/gY
Bh/aAj7EKy994maLg15329cAfZ3GTL1Uk3Vr3vj3Y762wRnY0UNjSZiW+xxQmze6mE5Te+quUifL
WnOagp96DJd4U9eb2e18HkeKIzzh1x57QbpXYZU5pRzhgYEEkIp/i0VrbZIlALRHcDqm41Wyb/oo
A3+56+7Lle1fenAOSZZ3Np3b7X2LYrQI6rsuUEJ56aC8aueBH1J2OoLxa6fwpq1tjBygyH4dwzPf
kGdqLFVLSp1e7Gz6p/oNXR1TXeApugIcqQDbdx3/S6jfjqO+9QMikvapBpaCdYRF9jZxoH42d179
lHWivKsrPjpRJHoE23vHBJowCUhtV/NjN35w3l2mT/Y2g+bd3c1/qlA4zwmJCBzOEfbl+gJPJ2ID
8+k4Y+7xvpOmTiuk2BaCurr+3inap0qFQR9hxf2c2W7zy4mJCNdWJGi7DveLk4TsbI2hyjJb8REW
wmebcJIRP8L8+2qnrhfN6A3ZHndV2e7qka/OTzqIdpx8X710GqMB3B57XXToPPYypkQ5a3kFUe+f
hrPPZZoe65NP809NBfq5P2sn18Q3poFjJ3/+DQAA//8=</cx:binary>
              </cx:geoCache>
            </cx:geography>
          </cx:layoutPr>
          <cx:valueColors>
            <cx:minColor>
              <a:schemeClr val="accent5">
                <a:lumMod val="20000"/>
                <a:lumOff val="80000"/>
              </a:schemeClr>
            </cx:minColor>
            <cx:midColor>
              <a:schemeClr val="accent5">
                <a:lumMod val="75000"/>
              </a:schemeClr>
            </cx:midColor>
            <cx:maxColor>
              <a:schemeClr val="accent5">
                <a:lumMod val="50000"/>
              </a:schemeClr>
            </cx:maxColor>
          </cx:valueColors>
          <cx:valueColorPositions count="3"/>
        </cx:series>
      </cx:plotAreaRegion>
    </cx:plotArea>
    <cx:legend pos="r" align="min" overlay="0">
      <cx:txPr>
        <a:bodyPr vertOverflow="overflow" horzOverflow="overflow" wrap="square" lIns="0" tIns="0" rIns="0" bIns="0"/>
        <a:lstStyle/>
        <a:p>
          <a:pPr algn="ctr" rtl="0">
            <a:defRPr sz="900" b="0" i="0">
              <a:solidFill>
                <a:schemeClr val="accent5">
                  <a:lumMod val="50000"/>
                </a:schemeClr>
              </a:solidFill>
              <a:latin typeface="Calibri" panose="020F0502020204030204" pitchFamily="34" charset="0"/>
              <a:ea typeface="Calibri" panose="020F0502020204030204" pitchFamily="34" charset="0"/>
              <a:cs typeface="Calibri" panose="020F0502020204030204" pitchFamily="34" charset="0"/>
            </a:defRPr>
          </a:pPr>
          <a:endParaRPr lang="en-NG">
            <a:solidFill>
              <a:schemeClr val="accent5">
                <a:lumMod val="50000"/>
              </a:schemeClr>
            </a:solidFill>
          </a:endParaRPr>
        </a:p>
      </cx:txPr>
    </cx:legend>
  </cx:chart>
  <cx:spPr>
    <a:noFill/>
    <a:ln cap="flat">
      <a:noFill/>
    </a:ln>
    <a:effectLst>
      <a:glow rad="127000">
        <a:schemeClr val="accent1">
          <a:alpha val="89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11.xml"/><Relationship Id="rId21" Type="http://schemas.openxmlformats.org/officeDocument/2006/relationships/image" Target="../media/image15.svg"/><Relationship Id="rId7" Type="http://schemas.openxmlformats.org/officeDocument/2006/relationships/chart" Target="../charts/chart15.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10.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svg"/><Relationship Id="rId24" Type="http://schemas.microsoft.com/office/2014/relationships/chartEx" Target="../charts/chartEx2.xml"/><Relationship Id="rId5" Type="http://schemas.openxmlformats.org/officeDocument/2006/relationships/chart" Target="../charts/chart13.xml"/><Relationship Id="rId15" Type="http://schemas.openxmlformats.org/officeDocument/2006/relationships/image" Target="../media/image9.svg"/><Relationship Id="rId23" Type="http://schemas.openxmlformats.org/officeDocument/2006/relationships/image" Target="../media/image17.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2.xml"/><Relationship Id="rId9" Type="http://schemas.openxmlformats.org/officeDocument/2006/relationships/image" Target="../media/image3.sv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409575</xdr:colOff>
      <xdr:row>4</xdr:row>
      <xdr:rowOff>185737</xdr:rowOff>
    </xdr:from>
    <xdr:to>
      <xdr:col>10</xdr:col>
      <xdr:colOff>104775</xdr:colOff>
      <xdr:row>19</xdr:row>
      <xdr:rowOff>71437</xdr:rowOff>
    </xdr:to>
    <xdr:graphicFrame macro="">
      <xdr:nvGraphicFramePr>
        <xdr:cNvPr id="2" name="Chart 1">
          <a:extLst>
            <a:ext uri="{FF2B5EF4-FFF2-40B4-BE49-F238E27FC236}">
              <a16:creationId xmlns:a16="http://schemas.microsoft.com/office/drawing/2014/main" id="{116211F6-0F71-EFEE-150F-1C02478E4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4</xdr:row>
      <xdr:rowOff>185737</xdr:rowOff>
    </xdr:from>
    <xdr:to>
      <xdr:col>10</xdr:col>
      <xdr:colOff>104775</xdr:colOff>
      <xdr:row>19</xdr:row>
      <xdr:rowOff>71437</xdr:rowOff>
    </xdr:to>
    <xdr:graphicFrame macro="">
      <xdr:nvGraphicFramePr>
        <xdr:cNvPr id="2" name="Chart 1">
          <a:extLst>
            <a:ext uri="{FF2B5EF4-FFF2-40B4-BE49-F238E27FC236}">
              <a16:creationId xmlns:a16="http://schemas.microsoft.com/office/drawing/2014/main" id="{1B5CF086-8D68-4229-A8AB-FF4363653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4</xdr:row>
      <xdr:rowOff>185737</xdr:rowOff>
    </xdr:from>
    <xdr:to>
      <xdr:col>10</xdr:col>
      <xdr:colOff>104775</xdr:colOff>
      <xdr:row>19</xdr:row>
      <xdr:rowOff>71437</xdr:rowOff>
    </xdr:to>
    <xdr:graphicFrame macro="">
      <xdr:nvGraphicFramePr>
        <xdr:cNvPr id="2" name="Chart 1">
          <a:extLst>
            <a:ext uri="{FF2B5EF4-FFF2-40B4-BE49-F238E27FC236}">
              <a16:creationId xmlns:a16="http://schemas.microsoft.com/office/drawing/2014/main" id="{96122E0C-7439-484C-80F8-6CEED4AAC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409574</xdr:colOff>
      <xdr:row>4</xdr:row>
      <xdr:rowOff>185737</xdr:rowOff>
    </xdr:from>
    <xdr:to>
      <xdr:col>13</xdr:col>
      <xdr:colOff>114299</xdr:colOff>
      <xdr:row>19</xdr:row>
      <xdr:rowOff>71437</xdr:rowOff>
    </xdr:to>
    <xdr:graphicFrame macro="">
      <xdr:nvGraphicFramePr>
        <xdr:cNvPr id="2" name="Chart 1">
          <a:extLst>
            <a:ext uri="{FF2B5EF4-FFF2-40B4-BE49-F238E27FC236}">
              <a16:creationId xmlns:a16="http://schemas.microsoft.com/office/drawing/2014/main" id="{57702910-E2E4-4F55-8017-560319879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409574</xdr:colOff>
      <xdr:row>4</xdr:row>
      <xdr:rowOff>185737</xdr:rowOff>
    </xdr:from>
    <xdr:to>
      <xdr:col>13</xdr:col>
      <xdr:colOff>114299</xdr:colOff>
      <xdr:row>19</xdr:row>
      <xdr:rowOff>71437</xdr:rowOff>
    </xdr:to>
    <xdr:graphicFrame macro="">
      <xdr:nvGraphicFramePr>
        <xdr:cNvPr id="2" name="Chart 1">
          <a:extLst>
            <a:ext uri="{FF2B5EF4-FFF2-40B4-BE49-F238E27FC236}">
              <a16:creationId xmlns:a16="http://schemas.microsoft.com/office/drawing/2014/main" id="{2853346F-751E-4CEF-BCBC-7511EA1AC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409574</xdr:colOff>
      <xdr:row>4</xdr:row>
      <xdr:rowOff>185737</xdr:rowOff>
    </xdr:from>
    <xdr:to>
      <xdr:col>13</xdr:col>
      <xdr:colOff>114299</xdr:colOff>
      <xdr:row>19</xdr:row>
      <xdr:rowOff>71437</xdr:rowOff>
    </xdr:to>
    <xdr:graphicFrame macro="">
      <xdr:nvGraphicFramePr>
        <xdr:cNvPr id="2" name="Chart 1">
          <a:extLst>
            <a:ext uri="{FF2B5EF4-FFF2-40B4-BE49-F238E27FC236}">
              <a16:creationId xmlns:a16="http://schemas.microsoft.com/office/drawing/2014/main" id="{A9642946-EC25-407F-9A7A-F8D3BB796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381000</xdr:colOff>
      <xdr:row>3</xdr:row>
      <xdr:rowOff>123825</xdr:rowOff>
    </xdr:from>
    <xdr:to>
      <xdr:col>17</xdr:col>
      <xdr:colOff>0</xdr:colOff>
      <xdr:row>23</xdr:row>
      <xdr:rowOff>142875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5D6364E-DA55-9A0F-667F-3FC2C22BC2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7675" y="695325"/>
              <a:ext cx="6934200" cy="382905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409574</xdr:colOff>
      <xdr:row>4</xdr:row>
      <xdr:rowOff>185737</xdr:rowOff>
    </xdr:from>
    <xdr:to>
      <xdr:col>13</xdr:col>
      <xdr:colOff>114299</xdr:colOff>
      <xdr:row>19</xdr:row>
      <xdr:rowOff>71437</xdr:rowOff>
    </xdr:to>
    <xdr:graphicFrame macro="">
      <xdr:nvGraphicFramePr>
        <xdr:cNvPr id="2" name="Chart 1">
          <a:extLst>
            <a:ext uri="{FF2B5EF4-FFF2-40B4-BE49-F238E27FC236}">
              <a16:creationId xmlns:a16="http://schemas.microsoft.com/office/drawing/2014/main" id="{3F5FE728-2E28-43B2-89FA-7C7EF8C39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409574</xdr:colOff>
      <xdr:row>5</xdr:row>
      <xdr:rowOff>96090</xdr:rowOff>
    </xdr:from>
    <xdr:to>
      <xdr:col>13</xdr:col>
      <xdr:colOff>114299</xdr:colOff>
      <xdr:row>19</xdr:row>
      <xdr:rowOff>172290</xdr:rowOff>
    </xdr:to>
    <xdr:graphicFrame macro="">
      <xdr:nvGraphicFramePr>
        <xdr:cNvPr id="2" name="Chart 1">
          <a:extLst>
            <a:ext uri="{FF2B5EF4-FFF2-40B4-BE49-F238E27FC236}">
              <a16:creationId xmlns:a16="http://schemas.microsoft.com/office/drawing/2014/main" id="{551AFFBA-C85A-4BF8-9B0E-BD2F1D952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200024</xdr:colOff>
      <xdr:row>1</xdr:row>
      <xdr:rowOff>28572</xdr:rowOff>
    </xdr:from>
    <xdr:to>
      <xdr:col>8</xdr:col>
      <xdr:colOff>95249</xdr:colOff>
      <xdr:row>14</xdr:row>
      <xdr:rowOff>57150</xdr:rowOff>
    </xdr:to>
    <xdr:sp macro="" textlink="">
      <xdr:nvSpPr>
        <xdr:cNvPr id="2" name="Rectangle: Rounded Corners 1">
          <a:extLst>
            <a:ext uri="{FF2B5EF4-FFF2-40B4-BE49-F238E27FC236}">
              <a16:creationId xmlns:a16="http://schemas.microsoft.com/office/drawing/2014/main" id="{A2AA53D0-4A52-276B-4010-AA23F90C51C2}"/>
            </a:ext>
          </a:extLst>
        </xdr:cNvPr>
        <xdr:cNvSpPr/>
      </xdr:nvSpPr>
      <xdr:spPr>
        <a:xfrm>
          <a:off x="200024" y="219072"/>
          <a:ext cx="4772025" cy="2505078"/>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 b="1"/>
            <a:t>PROJECT SPLIT</a:t>
          </a:r>
        </a:p>
        <a:p>
          <a:pPr algn="l"/>
          <a:r>
            <a:rPr lang="en-US" sz="700" b="1"/>
            <a:t>Category 1- Independent Variables</a:t>
          </a:r>
          <a:r>
            <a:rPr lang="en-US" sz="700"/>
            <a:t>:</a:t>
          </a:r>
        </a:p>
        <a:p>
          <a:pPr algn="l"/>
          <a:r>
            <a:rPr lang="en-US" sz="700"/>
            <a:t>1.</a:t>
          </a:r>
          <a:r>
            <a:rPr lang="en-US" sz="700" baseline="0"/>
            <a:t> Customer Name</a:t>
          </a:r>
        </a:p>
        <a:p>
          <a:pPr algn="l"/>
          <a:r>
            <a:rPr lang="en-US" sz="700" baseline="0"/>
            <a:t>2.Country</a:t>
          </a:r>
        </a:p>
        <a:p>
          <a:pPr algn="l"/>
          <a:r>
            <a:rPr lang="en-US" sz="700" baseline="0"/>
            <a:t>3. Salesperson</a:t>
          </a:r>
        </a:p>
        <a:p>
          <a:pPr algn="l"/>
          <a:r>
            <a:rPr lang="en-US" sz="700" baseline="0"/>
            <a:t>4. City</a:t>
          </a:r>
        </a:p>
        <a:p>
          <a:pPr algn="l"/>
          <a:r>
            <a:rPr lang="en-US" sz="700" baseline="0"/>
            <a:t>5. Region</a:t>
          </a:r>
        </a:p>
        <a:p>
          <a:pPr algn="l"/>
          <a:r>
            <a:rPr lang="en-US" sz="700" baseline="0"/>
            <a:t>6. Ship Name</a:t>
          </a:r>
        </a:p>
        <a:p>
          <a:pPr algn="l"/>
          <a:r>
            <a:rPr lang="en-US" sz="700" baseline="0"/>
            <a:t>7. Product Name</a:t>
          </a:r>
        </a:p>
        <a:p>
          <a:pPr algn="l"/>
          <a:r>
            <a:rPr lang="en-US" sz="700" baseline="0"/>
            <a:t>8. Category</a:t>
          </a:r>
        </a:p>
        <a:p>
          <a:pPr algn="l"/>
          <a:r>
            <a:rPr lang="en-US" sz="700" baseline="0"/>
            <a:t>9. Ship Country</a:t>
          </a:r>
        </a:p>
        <a:p>
          <a:pPr algn="l"/>
          <a:r>
            <a:rPr lang="en-US" sz="700" baseline="0"/>
            <a:t>10. Payment Type</a:t>
          </a:r>
        </a:p>
        <a:p>
          <a:pPr algn="l"/>
          <a:r>
            <a:rPr lang="en-US" sz="700" baseline="0"/>
            <a:t>11. Shipper Name</a:t>
          </a:r>
        </a:p>
        <a:p>
          <a:pPr algn="l"/>
          <a:endParaRPr lang="en-US" sz="700" baseline="0"/>
        </a:p>
        <a:p>
          <a:pPr algn="l"/>
          <a:r>
            <a:rPr lang="en-US" sz="700" baseline="0"/>
            <a:t>Category 2- Dependent Variables:</a:t>
          </a:r>
        </a:p>
        <a:p>
          <a:pPr algn="l"/>
          <a:r>
            <a:rPr lang="en-US" sz="700" baseline="0"/>
            <a:t>1. Revenue</a:t>
          </a:r>
        </a:p>
        <a:p>
          <a:pPr algn="l"/>
          <a:r>
            <a:rPr lang="en-US" sz="700" baseline="0"/>
            <a:t>2. Quantity</a:t>
          </a:r>
        </a:p>
        <a:p>
          <a:pPr algn="l"/>
          <a:r>
            <a:rPr lang="en-US" sz="700" baseline="0"/>
            <a:t>3. Shipping Fee</a:t>
          </a:r>
        </a:p>
        <a:p>
          <a:pPr algn="l"/>
          <a:r>
            <a:rPr lang="en-US" sz="700" baseline="0"/>
            <a:t>4. Unit Price</a:t>
          </a:r>
        </a:p>
        <a:p>
          <a:pPr algn="l"/>
          <a:endParaRPr lang="en-NG" sz="800"/>
        </a:p>
      </xdr:txBody>
    </xdr:sp>
    <xdr:clientData/>
  </xdr:twoCellAnchor>
  <xdr:twoCellAnchor>
    <xdr:from>
      <xdr:col>8</xdr:col>
      <xdr:colOff>209551</xdr:colOff>
      <xdr:row>1</xdr:row>
      <xdr:rowOff>76200</xdr:rowOff>
    </xdr:from>
    <xdr:to>
      <xdr:col>18</xdr:col>
      <xdr:colOff>314325</xdr:colOff>
      <xdr:row>15</xdr:row>
      <xdr:rowOff>133350</xdr:rowOff>
    </xdr:to>
    <xdr:sp macro="" textlink="">
      <xdr:nvSpPr>
        <xdr:cNvPr id="3" name="Rectangle: Rounded Corners 2">
          <a:extLst>
            <a:ext uri="{FF2B5EF4-FFF2-40B4-BE49-F238E27FC236}">
              <a16:creationId xmlns:a16="http://schemas.microsoft.com/office/drawing/2014/main" id="{5833AE92-7695-D1CD-94FB-32EA95A22D06}"/>
            </a:ext>
          </a:extLst>
        </xdr:cNvPr>
        <xdr:cNvSpPr/>
      </xdr:nvSpPr>
      <xdr:spPr>
        <a:xfrm>
          <a:off x="5086351" y="266700"/>
          <a:ext cx="6200774" cy="272415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800" b="1"/>
            <a:t>POTENTIAL QUESTIONS</a:t>
          </a:r>
        </a:p>
        <a:p>
          <a:pPr algn="l"/>
          <a:r>
            <a:rPr lang="en-US" sz="800"/>
            <a:t>1. Regional performance by revenue generated </a:t>
          </a:r>
        </a:p>
        <a:p>
          <a:pPr algn="l"/>
          <a:r>
            <a:rPr lang="en-US" sz="800"/>
            <a:t>2. Performance</a:t>
          </a:r>
          <a:r>
            <a:rPr lang="en-US" sz="800" baseline="0"/>
            <a:t> analysis of each saleperson by revenue generated</a:t>
          </a:r>
        </a:p>
        <a:p>
          <a:pPr algn="l"/>
          <a:r>
            <a:rPr lang="en-US" sz="800" baseline="0"/>
            <a:t>3. Customer performance analysis by quantity purchased</a:t>
          </a:r>
        </a:p>
        <a:p>
          <a:pPr algn="l"/>
          <a:r>
            <a:rPr lang="en-US" sz="800" baseline="0"/>
            <a:t>4. Payment usages over time by quantity used per payment</a:t>
          </a:r>
        </a:p>
        <a:p>
          <a:pPr algn="l"/>
          <a:r>
            <a:rPr lang="en-US" sz="800" baseline="0"/>
            <a:t>5. Best performing products for the year by quantity purchased</a:t>
          </a:r>
        </a:p>
        <a:p>
          <a:pPr algn="l"/>
          <a:r>
            <a:rPr lang="en-US" sz="800" baseline="0"/>
            <a:t>6. Product category performance by revenue</a:t>
          </a:r>
        </a:p>
        <a:p>
          <a:pPr algn="l"/>
          <a:r>
            <a:rPr lang="en-US" sz="800" baseline="0"/>
            <a:t>7. Performance analysis for shipping countries with reference to quantity and revenue</a:t>
          </a:r>
        </a:p>
        <a:p>
          <a:pPr algn="l"/>
          <a:r>
            <a:rPr lang="en-US" sz="800" baseline="0"/>
            <a:t>8. Product category performance by quantity</a:t>
          </a:r>
        </a:p>
        <a:p>
          <a:pPr algn="l"/>
          <a:r>
            <a:rPr lang="en-US" sz="800" baseline="0"/>
            <a:t>9. Salesperson performance by revenue</a:t>
          </a:r>
        </a:p>
        <a:p>
          <a:pPr algn="l"/>
          <a:r>
            <a:rPr lang="en-US" sz="800" baseline="0"/>
            <a:t>10. Salesperson performance per region by revenue</a:t>
          </a:r>
        </a:p>
        <a:p>
          <a:pPr algn="l"/>
          <a:r>
            <a:rPr lang="en-US" sz="800" baseline="0"/>
            <a:t>11. Best performing shipper name by quantity delivered over time.</a:t>
          </a:r>
        </a:p>
        <a:p>
          <a:pPr algn="l"/>
          <a:r>
            <a:rPr lang="en-US" sz="800" baseline="0"/>
            <a:t>12. Performance analysis for shipper name by shipping fee.</a:t>
          </a:r>
        </a:p>
        <a:p>
          <a:pPr algn="l"/>
          <a:r>
            <a:rPr lang="en-US" sz="800" baseline="0"/>
            <a:t>13. Best performing ship country and ship name by shipping fee</a:t>
          </a:r>
        </a:p>
        <a:p>
          <a:pPr algn="l"/>
          <a:r>
            <a:rPr lang="en-US" sz="800" baseline="0"/>
            <a:t>14. Most affordable product name by unit price</a:t>
          </a:r>
        </a:p>
        <a:p>
          <a:pPr algn="l"/>
          <a:r>
            <a:rPr lang="en-US" sz="800" baseline="0"/>
            <a:t>15. Most used payment type by revenue</a:t>
          </a:r>
        </a:p>
        <a:p>
          <a:pPr algn="l"/>
          <a:r>
            <a:rPr lang="en-US" sz="800" baseline="0"/>
            <a:t>16. Salesperson performance per city by revenue</a:t>
          </a:r>
        </a:p>
        <a:p>
          <a:pPr algn="l"/>
          <a:r>
            <a:rPr lang="en-US" sz="800" baseline="0"/>
            <a:t>17. Product Category performance by unit price</a:t>
          </a:r>
        </a:p>
        <a:p>
          <a:pPr algn="l"/>
          <a:r>
            <a:rPr lang="en-US" sz="800" baseline="0"/>
            <a:t>18. Performance analysis for customers per city by quantity purchased.</a:t>
          </a:r>
        </a:p>
        <a:p>
          <a:pPr algn="l"/>
          <a:endParaRPr lang="en-NG" sz="1100"/>
        </a:p>
      </xdr:txBody>
    </xdr:sp>
    <xdr:clientData/>
  </xdr:twoCellAnchor>
  <xdr:twoCellAnchor>
    <xdr:from>
      <xdr:col>8</xdr:col>
      <xdr:colOff>76199</xdr:colOff>
      <xdr:row>16</xdr:row>
      <xdr:rowOff>161923</xdr:rowOff>
    </xdr:from>
    <xdr:to>
      <xdr:col>18</xdr:col>
      <xdr:colOff>504824</xdr:colOff>
      <xdr:row>34</xdr:row>
      <xdr:rowOff>180974</xdr:rowOff>
    </xdr:to>
    <xdr:sp macro="" textlink="">
      <xdr:nvSpPr>
        <xdr:cNvPr id="5" name="Rectangle: Rounded Corners 4">
          <a:extLst>
            <a:ext uri="{FF2B5EF4-FFF2-40B4-BE49-F238E27FC236}">
              <a16:creationId xmlns:a16="http://schemas.microsoft.com/office/drawing/2014/main" id="{D023DAA3-E25A-7D34-CD9D-DB44E77E52A4}"/>
            </a:ext>
          </a:extLst>
        </xdr:cNvPr>
        <xdr:cNvSpPr/>
      </xdr:nvSpPr>
      <xdr:spPr>
        <a:xfrm>
          <a:off x="4952999" y="3209923"/>
          <a:ext cx="6524625" cy="3448051"/>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 INSIGHTS</a:t>
          </a:r>
        </a:p>
        <a:p>
          <a:pPr algn="l"/>
          <a:r>
            <a:rPr lang="en-US" sz="900"/>
            <a:t>1. Finetune out the best region</a:t>
          </a:r>
          <a:r>
            <a:rPr lang="en-US" sz="900" baseline="0"/>
            <a:t> for the year and explore more measures to gain more grounds.</a:t>
          </a:r>
        </a:p>
        <a:p>
          <a:pPr algn="l"/>
          <a:r>
            <a:rPr lang="en-US" sz="900" baseline="0"/>
            <a:t>2. Finetune the best performing product and ensure this product never diminishes hence preventing it's customers from firm-switching</a:t>
          </a:r>
        </a:p>
        <a:p>
          <a:pPr algn="l"/>
          <a:r>
            <a:rPr lang="en-US" sz="900" baseline="0"/>
            <a:t>3. Finetune best performing methodologies used at the top performing region to ensure more revenue means.</a:t>
          </a:r>
        </a:p>
        <a:p>
          <a:pPr algn="l"/>
          <a:r>
            <a:rPr lang="en-US" sz="900" baseline="0"/>
            <a:t>4. Finetune out the best payment method most suitable for customers and ensure it's kept on check</a:t>
          </a:r>
        </a:p>
        <a:p>
          <a:pPr algn="l"/>
          <a:r>
            <a:rPr lang="en-US" sz="900" baseline="0"/>
            <a:t>5. Ascertain the best and more purchased product and ensure to always get it well stocked up.</a:t>
          </a:r>
        </a:p>
        <a:p>
          <a:pPr algn="l"/>
          <a:r>
            <a:rPr lang="en-US" sz="900" baseline="0"/>
            <a:t>6. Ascertain the best performing product category and ensure it maintains the standard.</a:t>
          </a:r>
        </a:p>
        <a:p>
          <a:pPr algn="l"/>
          <a:r>
            <a:rPr lang="en-US" sz="900" baseline="0"/>
            <a:t>7. Understand the performance analysis for each shipping country by quantity or revenue and make sure to retain shipping country that generates  more revenue to the company</a:t>
          </a:r>
        </a:p>
        <a:p>
          <a:pPr algn="l"/>
          <a:r>
            <a:rPr lang="en-US" sz="900" baseline="0"/>
            <a:t>8. Finetune out the best performing product category and ensures it reaches customer satisfaction</a:t>
          </a:r>
        </a:p>
        <a:p>
          <a:pPr algn="l"/>
          <a:r>
            <a:rPr lang="en-US" sz="900" baseline="0"/>
            <a:t>9. Using revenue to fuinetune salesperson performance and encourage them to remain outstanding</a:t>
          </a:r>
        </a:p>
        <a:p>
          <a:pPr algn="l"/>
          <a:r>
            <a:rPr lang="en-US" sz="900" baseline="0"/>
            <a:t>10. finetune shipping name with best performance by the quantity of products they deliver and retain them.</a:t>
          </a:r>
        </a:p>
        <a:p>
          <a:pPr algn="l"/>
          <a:r>
            <a:rPr lang="en-US" sz="900" baseline="0"/>
            <a:t>11. Ascertain the best performing shipper name by their shipping fee and ensure they are retained.</a:t>
          </a:r>
        </a:p>
        <a:p>
          <a:pPr algn="l"/>
          <a:r>
            <a:rPr lang="en-US" sz="900" baseline="0"/>
            <a:t>12. Ascertain the best performing ship country and ship name and maintain good business relationship with them</a:t>
          </a:r>
        </a:p>
        <a:p>
          <a:pPr algn="l"/>
          <a:r>
            <a:rPr lang="en-US" sz="900" baseline="0"/>
            <a:t>13. Finetune  out the most affordable product name by unit price and ensure their unit price is always fair.</a:t>
          </a:r>
        </a:p>
        <a:p>
          <a:pPr algn="l"/>
          <a:r>
            <a:rPr lang="en-US" sz="900" baseline="0"/>
            <a:t>14. Finetune out the most used payment type and ensure it is acceptable in all other locations of the business.</a:t>
          </a:r>
        </a:p>
        <a:p>
          <a:pPr algn="l"/>
          <a:r>
            <a:rPr lang="en-US" sz="900" baseline="0"/>
            <a:t>15. Ascertain cities with the best salesperson and ensure they are transfered to locations with low revenue</a:t>
          </a:r>
        </a:p>
        <a:p>
          <a:pPr algn="l"/>
          <a:r>
            <a:rPr lang="en-US" sz="900" baseline="0"/>
            <a:t>16. Finetune the best performing product category per city and ensure their unit price are always fair enough</a:t>
          </a:r>
        </a:p>
        <a:p>
          <a:pPr algn="l"/>
          <a:r>
            <a:rPr lang="en-US" sz="900" baseline="0"/>
            <a:t>17. Ascertain best product category and make sure to maintain it.</a:t>
          </a:r>
        </a:p>
        <a:p>
          <a:pPr algn="l"/>
          <a:r>
            <a:rPr lang="en-US" sz="900" baseline="0"/>
            <a:t>18. Finetune performance analysis for best performing customer per city and encourage them to patronize the company more.</a:t>
          </a:r>
        </a:p>
        <a:p>
          <a:pPr algn="l"/>
          <a:endParaRPr lang="en-NG" sz="1100"/>
        </a:p>
      </xdr:txBody>
    </xdr:sp>
    <xdr:clientData/>
  </xdr:twoCellAnchor>
  <xdr:twoCellAnchor>
    <xdr:from>
      <xdr:col>0</xdr:col>
      <xdr:colOff>114300</xdr:colOff>
      <xdr:row>15</xdr:row>
      <xdr:rowOff>0</xdr:rowOff>
    </xdr:from>
    <xdr:to>
      <xdr:col>6</xdr:col>
      <xdr:colOff>542925</xdr:colOff>
      <xdr:row>32</xdr:row>
      <xdr:rowOff>19049</xdr:rowOff>
    </xdr:to>
    <xdr:sp macro="" textlink="">
      <xdr:nvSpPr>
        <xdr:cNvPr id="7" name="Rectangle: Rounded Corners 6">
          <a:extLst>
            <a:ext uri="{FF2B5EF4-FFF2-40B4-BE49-F238E27FC236}">
              <a16:creationId xmlns:a16="http://schemas.microsoft.com/office/drawing/2014/main" id="{8999D4E2-4F1C-FCEA-5D96-6B6144022F56}"/>
            </a:ext>
          </a:extLst>
        </xdr:cNvPr>
        <xdr:cNvSpPr/>
      </xdr:nvSpPr>
      <xdr:spPr>
        <a:xfrm>
          <a:off x="114300" y="2857500"/>
          <a:ext cx="4086225" cy="3257549"/>
        </a:xfrm>
        <a:prstGeom prst="roundRect">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INDUSTRY</a:t>
          </a:r>
          <a:r>
            <a:rPr lang="en-US" sz="1100" b="1" baseline="0"/>
            <a:t> TYPE</a:t>
          </a:r>
        </a:p>
        <a:p>
          <a:pPr algn="l"/>
          <a:r>
            <a:rPr lang="en-US" sz="1100" baseline="0"/>
            <a:t>Grocery Store with Revenue Means.</a:t>
          </a:r>
        </a:p>
        <a:p>
          <a:pPr algn="l"/>
          <a:endParaRPr lang="en-US" sz="1100" baseline="0"/>
        </a:p>
        <a:p>
          <a:pPr algn="ctr"/>
          <a:r>
            <a:rPr lang="en-US" sz="1100" b="1" baseline="0"/>
            <a:t>STORY OF DATA</a:t>
          </a:r>
        </a:p>
        <a:p>
          <a:pPr algn="l"/>
          <a:r>
            <a:rPr lang="en-US" sz="1100" baseline="0"/>
            <a:t>The data is telling a story around goods received from different shipping companies, a breakdown of how the goods were sold by different firms in different countries, it further highlights different quantities purchased, the salespersons in charge of each city and country.</a:t>
          </a:r>
        </a:p>
        <a:p>
          <a:pPr algn="l"/>
          <a:endParaRPr lang="en-US" sz="1100" baseline="0"/>
        </a:p>
        <a:p>
          <a:pPr algn="ctr"/>
          <a:r>
            <a:rPr lang="en-US" sz="1100" b="1" baseline="0"/>
            <a:t>STAKEHOLDERS OF PROJECT</a:t>
          </a:r>
        </a:p>
        <a:p>
          <a:pPr algn="l"/>
          <a:r>
            <a:rPr lang="en-US" sz="1100" baseline="0"/>
            <a:t>The Chief Executives and Marketing Team.</a:t>
          </a:r>
        </a:p>
        <a:p>
          <a:pPr algn="l"/>
          <a:endParaRPr lang="en-US" sz="1100" baseline="0"/>
        </a:p>
        <a:p>
          <a:pPr algn="ctr"/>
          <a:r>
            <a:rPr lang="en-US" sz="1100" b="1" baseline="0"/>
            <a:t>WHAT SUCCESS MEANS TO INDUSTRY</a:t>
          </a:r>
        </a:p>
        <a:p>
          <a:pPr algn="l"/>
          <a:r>
            <a:rPr lang="en-US" sz="1100" baseline="0"/>
            <a:t>Because generating Revenue is the most important point for them in this industry. Generating more and more Revenues is exactly what success means to this industry.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133350</xdr:colOff>
      <xdr:row>1</xdr:row>
      <xdr:rowOff>152398</xdr:rowOff>
    </xdr:from>
    <xdr:to>
      <xdr:col>9</xdr:col>
      <xdr:colOff>352425</xdr:colOff>
      <xdr:row>15</xdr:row>
      <xdr:rowOff>114300</xdr:rowOff>
    </xdr:to>
    <xdr:sp macro="" textlink="">
      <xdr:nvSpPr>
        <xdr:cNvPr id="2" name="Rectangle: Rounded Corners 1">
          <a:extLst>
            <a:ext uri="{FF2B5EF4-FFF2-40B4-BE49-F238E27FC236}">
              <a16:creationId xmlns:a16="http://schemas.microsoft.com/office/drawing/2014/main" id="{183F3811-0F59-42C1-A4BC-A54E38C591DB}"/>
            </a:ext>
          </a:extLst>
        </xdr:cNvPr>
        <xdr:cNvSpPr/>
      </xdr:nvSpPr>
      <xdr:spPr>
        <a:xfrm>
          <a:off x="133350" y="342898"/>
          <a:ext cx="5705475" cy="262890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 - Top 10 Customers</a:t>
          </a:r>
        </a:p>
        <a:p>
          <a:pPr algn="l"/>
          <a:endParaRPr lang="en-US" sz="1100">
            <a:solidFill>
              <a:schemeClr val="tx1"/>
            </a:solidFill>
          </a:endParaRPr>
        </a:p>
        <a:p>
          <a:pPr algn="l"/>
          <a:r>
            <a:rPr lang="en-US" sz="1100">
              <a:solidFill>
                <a:schemeClr val="tx1"/>
              </a:solidFill>
            </a:rPr>
            <a:t>Observations:</a:t>
          </a:r>
        </a:p>
        <a:p>
          <a:pPr algn="l"/>
          <a:r>
            <a:rPr lang="en-US" sz="1100">
              <a:solidFill>
                <a:schemeClr val="tx1"/>
              </a:solidFill>
            </a:rPr>
            <a:t>- Company D ranked first as</a:t>
          </a:r>
          <a:r>
            <a:rPr lang="en-US" sz="1100" baseline="0">
              <a:solidFill>
                <a:schemeClr val="tx1"/>
              </a:solidFill>
            </a:rPr>
            <a:t> the best performing customer for the year with a total revenue of </a:t>
          </a:r>
          <a:r>
            <a:rPr lang="en-NG" sz="1100" b="0" i="0" u="none" strike="noStrike">
              <a:solidFill>
                <a:schemeClr val="tx1"/>
              </a:solidFill>
              <a:effectLst/>
              <a:latin typeface="+mn-lt"/>
              <a:ea typeface="+mn-ea"/>
              <a:cs typeface="+mn-cs"/>
            </a:rPr>
            <a:t>$67,180.50</a:t>
          </a:r>
          <a:r>
            <a:rPr lang="en-US" sz="1100" b="0" i="0" u="none" strike="noStrike">
              <a:solidFill>
                <a:schemeClr val="tx1"/>
              </a:solidFill>
              <a:effectLst/>
              <a:latin typeface="+mn-lt"/>
              <a:ea typeface="+mn-ea"/>
              <a:cs typeface="+mn-cs"/>
            </a:rPr>
            <a:t>.</a:t>
          </a:r>
          <a:r>
            <a:rPr lang="en-NG"/>
            <a:t> </a:t>
          </a:r>
          <a:endParaRPr lang="en-US"/>
        </a:p>
        <a:p>
          <a:pPr algn="l"/>
          <a:endParaRPr lang="en-US" sz="1100">
            <a:solidFill>
              <a:schemeClr val="tx1"/>
            </a:solidFill>
          </a:endParaRPr>
        </a:p>
        <a:p>
          <a:pPr algn="l"/>
          <a:r>
            <a:rPr lang="en-US" sz="1100">
              <a:solidFill>
                <a:schemeClr val="tx1"/>
              </a:solidFill>
            </a:rPr>
            <a:t>- </a:t>
          </a:r>
          <a:r>
            <a:rPr lang="en-US" sz="1100" b="0" i="0" u="none" strike="noStrike">
              <a:solidFill>
                <a:schemeClr val="tx1"/>
              </a:solidFill>
              <a:effectLst/>
              <a:latin typeface="+mn-lt"/>
              <a:ea typeface="+mn-ea"/>
              <a:cs typeface="+mn-cs"/>
            </a:rPr>
            <a:t>Company K has the lowest performance with</a:t>
          </a:r>
          <a:r>
            <a:rPr lang="en-US" sz="1100" b="0" i="0" u="none" strike="noStrike" baseline="0">
              <a:solidFill>
                <a:schemeClr val="tx1"/>
              </a:solidFill>
              <a:effectLst/>
              <a:latin typeface="+mn-lt"/>
              <a:ea typeface="+mn-ea"/>
              <a:cs typeface="+mn-cs"/>
            </a:rPr>
            <a:t> a poor revenue of </a:t>
          </a:r>
          <a:r>
            <a:rPr lang="en-US">
              <a:solidFill>
                <a:schemeClr val="tx1"/>
              </a:solidFill>
            </a:rPr>
            <a:t> </a:t>
          </a:r>
          <a:r>
            <a:rPr lang="en-US" sz="1100" b="0" i="0" u="none" strike="noStrike">
              <a:solidFill>
                <a:schemeClr val="tx1"/>
              </a:solidFill>
              <a:effectLst/>
              <a:latin typeface="+mn-lt"/>
              <a:ea typeface="+mn-ea"/>
              <a:cs typeface="+mn-cs"/>
            </a:rPr>
            <a:t>$21,937.08</a:t>
          </a:r>
          <a:r>
            <a:rPr lang="en-US">
              <a:solidFill>
                <a:schemeClr val="tx1"/>
              </a:solidFill>
            </a:rPr>
            <a:t> </a:t>
          </a:r>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Pre-Insights:</a:t>
          </a:r>
          <a:endParaRPr lang="en-NG">
            <a:solidFill>
              <a:schemeClr val="tx1"/>
            </a:solidFill>
            <a:effectLst/>
          </a:endParaRPr>
        </a:p>
        <a:p>
          <a:pPr algn="l"/>
          <a:r>
            <a:rPr lang="en-US" sz="1100">
              <a:solidFill>
                <a:schemeClr val="tx1"/>
              </a:solidFill>
            </a:rPr>
            <a:t>- A reward or appreciation</a:t>
          </a:r>
          <a:r>
            <a:rPr lang="en-US" sz="1100" baseline="0">
              <a:solidFill>
                <a:schemeClr val="tx1"/>
              </a:solidFill>
            </a:rPr>
            <a:t> program can be put in place to motivate other customers and promote competiition among customers.</a:t>
          </a:r>
        </a:p>
        <a:p>
          <a:pPr algn="l"/>
          <a:endParaRPr lang="en-US" sz="1100" baseline="0">
            <a:solidFill>
              <a:schemeClr val="tx1"/>
            </a:solidFill>
          </a:endParaRPr>
        </a:p>
        <a:p>
          <a:pPr algn="l"/>
          <a:r>
            <a:rPr lang="en-US" sz="1100" baseline="0"/>
            <a:t>- </a:t>
          </a:r>
          <a:endParaRPr lang="en-NG" sz="1100"/>
        </a:p>
      </xdr:txBody>
    </xdr:sp>
    <xdr:clientData/>
  </xdr:twoCellAnchor>
  <xdr:twoCellAnchor>
    <xdr:from>
      <xdr:col>10</xdr:col>
      <xdr:colOff>209548</xdr:colOff>
      <xdr:row>1</xdr:row>
      <xdr:rowOff>104774</xdr:rowOff>
    </xdr:from>
    <xdr:to>
      <xdr:col>19</xdr:col>
      <xdr:colOff>314325</xdr:colOff>
      <xdr:row>19</xdr:row>
      <xdr:rowOff>114300</xdr:rowOff>
    </xdr:to>
    <xdr:sp macro="" textlink="">
      <xdr:nvSpPr>
        <xdr:cNvPr id="3" name="Rectangle: Rounded Corners 2">
          <a:extLst>
            <a:ext uri="{FF2B5EF4-FFF2-40B4-BE49-F238E27FC236}">
              <a16:creationId xmlns:a16="http://schemas.microsoft.com/office/drawing/2014/main" id="{EB2A364D-BD98-4F10-B836-B4C825BFCF58}"/>
            </a:ext>
          </a:extLst>
        </xdr:cNvPr>
        <xdr:cNvSpPr/>
      </xdr:nvSpPr>
      <xdr:spPr>
        <a:xfrm>
          <a:off x="6305548" y="295274"/>
          <a:ext cx="5591177" cy="3438526"/>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 Salesperson</a:t>
          </a:r>
          <a:r>
            <a:rPr lang="en-US" sz="1100" b="1" baseline="0"/>
            <a:t> Performance</a:t>
          </a:r>
          <a:endParaRPr lang="en-US" sz="1100" b="1"/>
        </a:p>
        <a:p>
          <a:pPr algn="l"/>
          <a:endParaRPr lang="en-US" sz="1100"/>
        </a:p>
        <a:p>
          <a:pPr algn="l"/>
          <a:r>
            <a:rPr lang="en-US" sz="1100"/>
            <a:t>Observations:</a:t>
          </a:r>
        </a:p>
        <a:p>
          <a:pPr algn="l"/>
          <a:r>
            <a:rPr lang="en-US" sz="1100"/>
            <a:t>- Nancy Freehafer</a:t>
          </a:r>
          <a:r>
            <a:rPr lang="en-US" sz="1100" baseline="0"/>
            <a:t> topped the performance chart for the year by generating </a:t>
          </a:r>
          <a:r>
            <a:rPr lang="en-NG" sz="1100" b="0" i="0" u="none" strike="noStrike">
              <a:solidFill>
                <a:schemeClr val="lt1"/>
              </a:solidFill>
              <a:effectLst/>
              <a:latin typeface="+mn-lt"/>
              <a:ea typeface="+mn-ea"/>
              <a:cs typeface="+mn-cs"/>
            </a:rPr>
            <a:t>$104,252.34</a:t>
          </a:r>
          <a:r>
            <a:rPr lang="en-US" sz="1100" b="0" i="0" u="none" strike="noStrike">
              <a:solidFill>
                <a:schemeClr val="lt1"/>
              </a:solidFill>
              <a:effectLst/>
              <a:latin typeface="+mn-lt"/>
              <a:ea typeface="+mn-ea"/>
              <a:cs typeface="+mn-cs"/>
            </a:rPr>
            <a:t>  revenue for the year 2014.</a:t>
          </a:r>
          <a:endParaRPr lang="en-US" sz="1100"/>
        </a:p>
        <a:p>
          <a:pPr algn="l"/>
          <a:r>
            <a:rPr lang="en-US" sz="1100"/>
            <a:t>- </a:t>
          </a:r>
          <a:r>
            <a:rPr lang="en-US" sz="1100" b="0" i="0" u="none" strike="noStrike">
              <a:solidFill>
                <a:schemeClr val="lt1"/>
              </a:solidFill>
              <a:effectLst/>
              <a:latin typeface="+mn-lt"/>
              <a:ea typeface="+mn-ea"/>
              <a:cs typeface="+mn-cs"/>
            </a:rPr>
            <a:t>Anne Larsen</a:t>
          </a:r>
          <a:r>
            <a:rPr lang="en-US"/>
            <a:t> topped as the second</a:t>
          </a:r>
          <a:r>
            <a:rPr lang="en-US" baseline="0"/>
            <a:t> best salesperson by generating </a:t>
          </a:r>
          <a:r>
            <a:rPr lang="en-US" sz="1100" b="0" i="0" u="none" strike="noStrike">
              <a:solidFill>
                <a:schemeClr val="lt1"/>
              </a:solidFill>
              <a:effectLst/>
              <a:latin typeface="+mn-lt"/>
              <a:ea typeface="+mn-ea"/>
              <a:cs typeface="+mn-cs"/>
            </a:rPr>
            <a:t>$93,858.33</a:t>
          </a:r>
          <a:r>
            <a:rPr lang="en-US"/>
            <a:t> revenue.</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a:t>
          </a:r>
          <a:r>
            <a:rPr lang="en-US" sz="1100" b="0" i="0" u="none" strike="noStrike" baseline="0">
              <a:solidFill>
                <a:schemeClr val="lt1"/>
              </a:solidFill>
              <a:effectLst/>
              <a:latin typeface="+mn-lt"/>
              <a:ea typeface="+mn-ea"/>
              <a:cs typeface="+mn-cs"/>
            </a:rPr>
            <a:t> The least performing salesperson is </a:t>
          </a:r>
          <a:r>
            <a:rPr lang="en-US" sz="1100" b="0" i="0" u="none" strike="noStrike">
              <a:solidFill>
                <a:schemeClr val="lt1"/>
              </a:solidFill>
              <a:effectLst/>
              <a:latin typeface="+mn-lt"/>
              <a:ea typeface="+mn-ea"/>
              <a:cs typeface="+mn-cs"/>
            </a:rPr>
            <a:t>Jan Kotas</a:t>
          </a:r>
          <a:r>
            <a:rPr lang="en-US"/>
            <a:t> with a total revenue of </a:t>
          </a:r>
          <a:r>
            <a:rPr lang="en-US" sz="1100" b="0" i="0" u="none" strike="noStrike">
              <a:solidFill>
                <a:schemeClr val="lt1"/>
              </a:solidFill>
              <a:effectLst/>
              <a:latin typeface="+mn-lt"/>
              <a:ea typeface="+mn-ea"/>
              <a:cs typeface="+mn-cs"/>
            </a:rPr>
            <a:t>$16,350.50</a:t>
          </a:r>
          <a:r>
            <a:rPr lang="en-US"/>
            <a:t> for the year 2014.</a:t>
          </a:r>
        </a:p>
        <a:p>
          <a:pPr algn="l"/>
          <a:endParaRPr lang="en-US" sz="1100" b="0" i="0" u="none" strike="noStrike" baseline="0">
            <a:solidFill>
              <a:schemeClr val="lt1"/>
            </a:solidFill>
            <a:effectLst/>
            <a:latin typeface="+mn-lt"/>
            <a:ea typeface="+mn-ea"/>
            <a:cs typeface="+mn-cs"/>
          </a:endParaRP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Pre-Insights: </a:t>
          </a:r>
        </a:p>
        <a:p>
          <a:pPr algn="l"/>
          <a:r>
            <a:rPr lang="en-US" sz="1100" b="0" i="0" u="none" strike="noStrike" baseline="0">
              <a:solidFill>
                <a:schemeClr val="lt1"/>
              </a:solidFill>
              <a:effectLst/>
              <a:latin typeface="+mn-lt"/>
              <a:ea typeface="+mn-ea"/>
              <a:cs typeface="+mn-cs"/>
            </a:rPr>
            <a:t>-Nancy Freehafer can recommended for promotion, thereby boosting her moral to do more.</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-Jan Kotas the least performing salesperson can be recommended to be suspended , as his inefficiency and zeal for the job affects the company's revenue.</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p>
        <a:p>
          <a:pPr algn="l"/>
          <a:endParaRPr lang="en-US" sz="1100" b="0" i="0" u="none" strike="noStrike" baseline="0">
            <a:solidFill>
              <a:schemeClr val="lt1"/>
            </a:solidFill>
            <a:effectLst/>
            <a:latin typeface="+mn-lt"/>
            <a:ea typeface="+mn-ea"/>
            <a:cs typeface="+mn-cs"/>
          </a:endParaRPr>
        </a:p>
        <a:p>
          <a:pPr algn="l"/>
          <a:endParaRPr lang="en-US" sz="1100"/>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Pre-Insights:</a:t>
          </a:r>
          <a:endParaRPr lang="en-NG">
            <a:effectLst/>
          </a:endParaRPr>
        </a:p>
        <a:p>
          <a:pPr algn="l"/>
          <a:endParaRPr lang="en-NG" sz="1100"/>
        </a:p>
      </xdr:txBody>
    </xdr:sp>
    <xdr:clientData/>
  </xdr:twoCellAnchor>
  <xdr:twoCellAnchor>
    <xdr:from>
      <xdr:col>19</xdr:col>
      <xdr:colOff>581025</xdr:colOff>
      <xdr:row>1</xdr:row>
      <xdr:rowOff>19049</xdr:rowOff>
    </xdr:from>
    <xdr:to>
      <xdr:col>29</xdr:col>
      <xdr:colOff>247650</xdr:colOff>
      <xdr:row>19</xdr:row>
      <xdr:rowOff>161925</xdr:rowOff>
    </xdr:to>
    <xdr:sp macro="" textlink="">
      <xdr:nvSpPr>
        <xdr:cNvPr id="4" name="Rectangle: Rounded Corners 3">
          <a:extLst>
            <a:ext uri="{FF2B5EF4-FFF2-40B4-BE49-F238E27FC236}">
              <a16:creationId xmlns:a16="http://schemas.microsoft.com/office/drawing/2014/main" id="{A5673F31-38B7-400A-9ACF-4494987FE9C4}"/>
            </a:ext>
          </a:extLst>
        </xdr:cNvPr>
        <xdr:cNvSpPr/>
      </xdr:nvSpPr>
      <xdr:spPr>
        <a:xfrm>
          <a:off x="12163425" y="209549"/>
          <a:ext cx="5762625" cy="357187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r>
            <a:rPr lang="en-US" sz="1100" b="1" baseline="0">
              <a:solidFill>
                <a:schemeClr val="tx1"/>
              </a:solidFill>
            </a:rPr>
            <a:t> - Sales by Product Category</a:t>
          </a:r>
          <a:endParaRPr lang="en-US" sz="1100">
            <a:solidFill>
              <a:schemeClr val="tx1"/>
            </a:solidFill>
          </a:endParaRPr>
        </a:p>
        <a:p>
          <a:pPr algn="l"/>
          <a:endParaRPr lang="en-US" sz="1100">
            <a:solidFill>
              <a:schemeClr val="tx1"/>
            </a:solidFill>
          </a:endParaRPr>
        </a:p>
        <a:p>
          <a:pPr algn="l"/>
          <a:r>
            <a:rPr lang="en-US" sz="1100" b="1">
              <a:solidFill>
                <a:schemeClr val="tx1"/>
              </a:solidFill>
            </a:rPr>
            <a:t>Observations:</a:t>
          </a:r>
        </a:p>
        <a:p>
          <a:pPr algn="l"/>
          <a:r>
            <a:rPr lang="en-US" sz="1100">
              <a:solidFill>
                <a:schemeClr val="tx1"/>
              </a:solidFill>
            </a:rPr>
            <a:t>- Beverages topped</a:t>
          </a:r>
          <a:r>
            <a:rPr lang="en-US" sz="1100" baseline="0">
              <a:solidFill>
                <a:schemeClr val="tx1"/>
              </a:solidFill>
            </a:rPr>
            <a:t> other product categories by generating </a:t>
          </a:r>
          <a:r>
            <a:rPr lang="en-NG" sz="1100" b="0" i="0" u="none" strike="noStrike">
              <a:solidFill>
                <a:schemeClr val="tx1"/>
              </a:solidFill>
              <a:effectLst/>
              <a:latin typeface="+mn-lt"/>
              <a:ea typeface="+mn-ea"/>
              <a:cs typeface="+mn-cs"/>
            </a:rPr>
            <a:t>$110,577.11</a:t>
          </a:r>
          <a:r>
            <a:rPr lang="en-NG"/>
            <a:t> </a:t>
          </a:r>
          <a:r>
            <a:rPr lang="en-US">
              <a:solidFill>
                <a:schemeClr val="tx1"/>
              </a:solidFill>
            </a:rPr>
            <a:t>for the year 2014.</a:t>
          </a:r>
          <a:endParaRPr lang="en-US" baseline="0">
            <a:solidFill>
              <a:schemeClr val="tx1"/>
            </a:solidFill>
          </a:endParaRPr>
        </a:p>
        <a:p>
          <a:pPr algn="l"/>
          <a:endParaRPr lang="en-US" sz="1100" baseline="0">
            <a:solidFill>
              <a:schemeClr val="tx1"/>
            </a:solidFill>
          </a:endParaRPr>
        </a:p>
        <a:p>
          <a:pPr algn="l"/>
          <a:r>
            <a:rPr lang="en-US" sz="1100" baseline="0">
              <a:solidFill>
                <a:schemeClr val="tx1"/>
              </a:solidFill>
            </a:rPr>
            <a:t>- Canned meat has the lowest sales with a poor revenue of </a:t>
          </a:r>
          <a:r>
            <a:rPr lang="en-NG" sz="1100" b="0" i="0" u="none" strike="noStrike">
              <a:solidFill>
                <a:schemeClr val="tx1"/>
              </a:solidFill>
              <a:effectLst/>
              <a:latin typeface="+mn-lt"/>
              <a:ea typeface="+mn-ea"/>
              <a:cs typeface="+mn-cs"/>
            </a:rPr>
            <a:t>$25,465.60</a:t>
          </a:r>
          <a:r>
            <a:rPr lang="en-US" sz="1100" b="0" i="0" u="none" strike="noStrike">
              <a:solidFill>
                <a:schemeClr val="tx1"/>
              </a:solidFill>
              <a:effectLst/>
              <a:latin typeface="+mn-lt"/>
              <a:ea typeface="+mn-ea"/>
              <a:cs typeface="+mn-cs"/>
            </a:rPr>
            <a:t>.</a:t>
          </a:r>
          <a:endParaRPr lang="en-US">
            <a:solidFill>
              <a:schemeClr val="tx1"/>
            </a:solidFill>
          </a:endParaRP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tx1"/>
              </a:solidFill>
              <a:effectLst/>
              <a:latin typeface="+mn-lt"/>
              <a:ea typeface="+mn-ea"/>
              <a:cs typeface="+mn-cs"/>
            </a:rPr>
            <a:t>--</a:t>
          </a:r>
          <a:r>
            <a:rPr lang="en-US" sz="1100" b="0" i="0" u="none" strike="noStrike" baseline="0">
              <a:solidFill>
                <a:schemeClr val="tx1"/>
              </a:solidFill>
              <a:effectLst/>
              <a:latin typeface="+mn-lt"/>
              <a:ea typeface="+mn-ea"/>
              <a:cs typeface="+mn-cs"/>
            </a:rPr>
            <a:t> Dried fruit and nut also didn't have good sales for the year 2014 ,as it generated a poor revenue of </a:t>
          </a:r>
          <a:r>
            <a:rPr lang="en-NG" sz="1100" b="0" i="0" u="none" strike="noStrike">
              <a:solidFill>
                <a:schemeClr val="tx1"/>
              </a:solidFill>
              <a:effectLst/>
              <a:latin typeface="+mn-lt"/>
              <a:ea typeface="+mn-ea"/>
              <a:cs typeface="+mn-cs"/>
            </a:rPr>
            <a:t>$27,999.50</a:t>
          </a:r>
          <a:r>
            <a:rPr lang="en-NG">
              <a:solidFill>
                <a:schemeClr val="tx1"/>
              </a:solidFill>
            </a:rPr>
            <a:t> </a:t>
          </a:r>
          <a:r>
            <a:rPr lang="en-US"/>
            <a:t>.</a:t>
          </a:r>
          <a:endParaRPr lang="en-US" sz="1100">
            <a:solidFill>
              <a:schemeClr val="tx1"/>
            </a:solidFill>
          </a:endParaRPr>
        </a:p>
        <a:p>
          <a:pPr algn="l"/>
          <a:endParaRPr lang="en-US"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Pre-Insights:</a:t>
          </a:r>
          <a:endParaRPr lang="en-NG" b="1">
            <a:solidFill>
              <a:schemeClr val="tx1"/>
            </a:solidFill>
            <a:effectLst/>
          </a:endParaRPr>
        </a:p>
        <a:p>
          <a:pPr algn="l"/>
          <a:r>
            <a:rPr lang="en-US" sz="1100">
              <a:solidFill>
                <a:schemeClr val="tx1"/>
              </a:solidFill>
            </a:rPr>
            <a:t>- The quantity of beverages for</a:t>
          </a:r>
          <a:r>
            <a:rPr lang="en-US" sz="1100" baseline="0">
              <a:solidFill>
                <a:schemeClr val="tx1"/>
              </a:solidFill>
            </a:rPr>
            <a:t> sales </a:t>
          </a:r>
          <a:r>
            <a:rPr lang="en-US" sz="1100">
              <a:solidFill>
                <a:schemeClr val="tx1"/>
              </a:solidFill>
            </a:rPr>
            <a:t>should be increased,</a:t>
          </a:r>
          <a:r>
            <a:rPr lang="en-US" sz="1100" baseline="0">
              <a:solidFill>
                <a:schemeClr val="tx1"/>
              </a:solidFill>
            </a:rPr>
            <a:t> since it has high demand.</a:t>
          </a:r>
        </a:p>
        <a:p>
          <a:pPr algn="l"/>
          <a:endParaRPr lang="en-US" sz="1100" baseline="0">
            <a:solidFill>
              <a:schemeClr val="tx1"/>
            </a:solidFill>
          </a:endParaRPr>
        </a:p>
        <a:p>
          <a:pPr algn="l"/>
          <a:r>
            <a:rPr lang="en-US" sz="1100" baseline="0">
              <a:solidFill>
                <a:schemeClr val="tx1"/>
              </a:solidFill>
            </a:rPr>
            <a:t>- An investigation as to why canned meat recorded poor sales should be made</a:t>
          </a:r>
        </a:p>
        <a:p>
          <a:pPr algn="l"/>
          <a:endParaRPr lang="en-US" sz="1100" baseline="0">
            <a:solidFill>
              <a:schemeClr val="tx1"/>
            </a:solidFill>
          </a:endParaRPr>
        </a:p>
        <a:p>
          <a:pPr algn="l"/>
          <a:r>
            <a:rPr lang="en-US" sz="1100" baseline="0">
              <a:solidFill>
                <a:schemeClr val="tx1"/>
              </a:solidFill>
            </a:rPr>
            <a:t>- Smaller quantity of dried fruit and nut should be shipped in, to avoid most of them expiring since it has low demand.</a:t>
          </a:r>
        </a:p>
      </xdr:txBody>
    </xdr:sp>
    <xdr:clientData/>
  </xdr:twoCellAnchor>
  <xdr:twoCellAnchor>
    <xdr:from>
      <xdr:col>10</xdr:col>
      <xdr:colOff>180973</xdr:colOff>
      <xdr:row>20</xdr:row>
      <xdr:rowOff>28573</xdr:rowOff>
    </xdr:from>
    <xdr:to>
      <xdr:col>19</xdr:col>
      <xdr:colOff>285750</xdr:colOff>
      <xdr:row>41</xdr:row>
      <xdr:rowOff>171450</xdr:rowOff>
    </xdr:to>
    <xdr:sp macro="" textlink="">
      <xdr:nvSpPr>
        <xdr:cNvPr id="5" name="Rectangle: Rounded Corners 4">
          <a:extLst>
            <a:ext uri="{FF2B5EF4-FFF2-40B4-BE49-F238E27FC236}">
              <a16:creationId xmlns:a16="http://schemas.microsoft.com/office/drawing/2014/main" id="{A31AC3A3-2EE6-61C9-17E5-EE737D7473FE}"/>
            </a:ext>
          </a:extLst>
        </xdr:cNvPr>
        <xdr:cNvSpPr/>
      </xdr:nvSpPr>
      <xdr:spPr>
        <a:xfrm>
          <a:off x="6276973" y="3838573"/>
          <a:ext cx="5591177" cy="4143377"/>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 Sales</a:t>
          </a:r>
          <a:r>
            <a:rPr lang="en-US" sz="1100" b="1" baseline="0"/>
            <a:t> Trend Report</a:t>
          </a:r>
        </a:p>
        <a:p>
          <a:pPr algn="l"/>
          <a:endParaRPr lang="en-US" sz="1100" b="1" baseline="0"/>
        </a:p>
        <a:p>
          <a:pPr algn="l"/>
          <a:r>
            <a:rPr lang="en-US" sz="1100" b="1" baseline="0"/>
            <a:t>Observations:</a:t>
          </a:r>
        </a:p>
        <a:p>
          <a:pPr algn="l"/>
          <a:r>
            <a:rPr lang="en-US" sz="1100" b="1" baseline="0"/>
            <a:t>- </a:t>
          </a:r>
          <a:r>
            <a:rPr lang="en-US" sz="1100" b="0" baseline="0"/>
            <a:t>The month of December has the highest sales report for the year  2014 with an impressive revenue of </a:t>
          </a:r>
          <a:r>
            <a:rPr lang="en-NG" sz="1100" b="0" i="0" u="none" strike="noStrike">
              <a:solidFill>
                <a:schemeClr val="lt1"/>
              </a:solidFill>
              <a:effectLst/>
              <a:latin typeface="+mn-lt"/>
              <a:ea typeface="+mn-ea"/>
              <a:cs typeface="+mn-cs"/>
            </a:rPr>
            <a:t>$66,642.78</a:t>
          </a:r>
          <a:r>
            <a:rPr lang="en-US" sz="1100" b="0" i="0" u="none" strike="noStrike">
              <a:solidFill>
                <a:schemeClr val="lt1"/>
              </a:solidFill>
              <a:effectLst/>
              <a:latin typeface="+mn-lt"/>
              <a:ea typeface="+mn-ea"/>
              <a:cs typeface="+mn-cs"/>
            </a:rPr>
            <a:t>.</a:t>
          </a: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-The</a:t>
          </a:r>
          <a:r>
            <a:rPr lang="en-US" sz="1100" b="0" i="0" u="none" strike="noStrike" baseline="0">
              <a:solidFill>
                <a:schemeClr val="lt1"/>
              </a:solidFill>
              <a:effectLst/>
              <a:latin typeface="+mn-lt"/>
              <a:ea typeface="+mn-ea"/>
              <a:cs typeface="+mn-cs"/>
            </a:rPr>
            <a:t> month of February recorded the lowest sales for the year 2014 with  a revenue of </a:t>
          </a:r>
          <a:r>
            <a:rPr lang="en-NG" sz="1100" b="0" i="0" u="none" strike="noStrike">
              <a:solidFill>
                <a:schemeClr val="lt1"/>
              </a:solidFill>
              <a:effectLst/>
              <a:latin typeface="+mn-lt"/>
              <a:ea typeface="+mn-ea"/>
              <a:cs typeface="+mn-cs"/>
            </a:rPr>
            <a:t>$19,985.50</a:t>
          </a:r>
          <a:r>
            <a:rPr lang="en-NG"/>
            <a:t> </a:t>
          </a:r>
          <a:r>
            <a:rPr lang="en-US"/>
            <a:t>only.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r>
            <a:rPr lang="en-US" sz="1100" b="0" i="0" u="none" strike="noStrike">
              <a:solidFill>
                <a:schemeClr val="lt1"/>
              </a:solidFill>
              <a:effectLst/>
              <a:latin typeface="+mn-lt"/>
              <a:ea typeface="+mn-ea"/>
              <a:cs typeface="+mn-cs"/>
            </a:rPr>
            <a:t>-There</a:t>
          </a:r>
          <a:r>
            <a:rPr lang="en-US" sz="1100" b="0" i="0" u="none" strike="noStrike" baseline="0">
              <a:solidFill>
                <a:schemeClr val="lt1"/>
              </a:solidFill>
              <a:effectLst/>
              <a:latin typeface="+mn-lt"/>
              <a:ea typeface="+mn-ea"/>
              <a:cs typeface="+mn-cs"/>
            </a:rPr>
            <a:t> is a disturbing increase of </a:t>
          </a:r>
          <a:r>
            <a:rPr lang="en-NG" sz="1100" b="0" i="0" u="none" strike="noStrike">
              <a:solidFill>
                <a:schemeClr val="lt1"/>
              </a:solidFill>
              <a:effectLst/>
              <a:latin typeface="+mn-lt"/>
              <a:ea typeface="+mn-ea"/>
              <a:cs typeface="+mn-cs"/>
            </a:rPr>
            <a:t>$55,601.61</a:t>
          </a:r>
          <a:r>
            <a:rPr lang="en-US" sz="1100" b="0" i="0" u="none" strike="noStrike" baseline="0">
              <a:solidFill>
                <a:schemeClr val="lt1"/>
              </a:solidFill>
              <a:effectLst/>
              <a:latin typeface="+mn-lt"/>
              <a:ea typeface="+mn-ea"/>
              <a:cs typeface="+mn-cs"/>
            </a:rPr>
            <a:t> and a sharp decline of </a:t>
          </a:r>
          <a:r>
            <a:rPr lang="en-NG" sz="1100" b="0" i="0" u="none" strike="noStrike">
              <a:solidFill>
                <a:schemeClr val="lt1"/>
              </a:solidFill>
              <a:effectLst/>
              <a:latin typeface="+mn-lt"/>
              <a:ea typeface="+mn-ea"/>
              <a:cs typeface="+mn-cs"/>
            </a:rPr>
            <a:t>$27,318.54</a:t>
          </a:r>
          <a:r>
            <a:rPr lang="en-NG"/>
            <a:t> </a:t>
          </a:r>
          <a:r>
            <a:rPr lang="en-US" sz="1100" b="0" i="0" u="none" strike="noStrike" baseline="0">
              <a:solidFill>
                <a:schemeClr val="lt1"/>
              </a:solidFill>
              <a:effectLst/>
              <a:latin typeface="+mn-lt"/>
              <a:ea typeface="+mn-ea"/>
              <a:cs typeface="+mn-cs"/>
            </a:rPr>
            <a:t>in sales between June and July.</a:t>
          </a:r>
        </a:p>
        <a:p>
          <a:pPr algn="l"/>
          <a:endParaRPr lang="en-US" sz="1100" b="0" i="0" u="none" strike="noStrike" baseline="0">
            <a:solidFill>
              <a:schemeClr val="lt1"/>
            </a:solidFill>
            <a:effectLst/>
            <a:latin typeface="+mn-lt"/>
            <a:ea typeface="+mn-ea"/>
            <a:cs typeface="+mn-cs"/>
          </a:endParaRP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Pre-Insights: </a:t>
          </a:r>
        </a:p>
        <a:p>
          <a:pPr algn="l"/>
          <a:r>
            <a:rPr lang="en-US" sz="1100" b="0" i="0" u="none" strike="noStrike" baseline="0">
              <a:solidFill>
                <a:schemeClr val="lt1"/>
              </a:solidFill>
              <a:effectLst/>
              <a:latin typeface="+mn-lt"/>
              <a:ea typeface="+mn-ea"/>
              <a:cs typeface="+mn-cs"/>
            </a:rPr>
            <a:t>- Variety of goods should be made readily available in the month of December, as revenue is been generated more in this month.</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-Findings should be made to finetune the factors sorrounding poor sales in February and workable measures should be adopted to manage it.</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 quick and timely observation should be made as to ascertain why revenue dropped drastically between June and July.</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p>
        <a:p>
          <a:pPr algn="l"/>
          <a:endParaRPr lang="en-US" sz="1100" b="0" i="0" u="none" strike="noStrike" baseline="0">
            <a:solidFill>
              <a:schemeClr val="lt1"/>
            </a:solidFill>
            <a:effectLst/>
            <a:latin typeface="+mn-lt"/>
            <a:ea typeface="+mn-ea"/>
            <a:cs typeface="+mn-cs"/>
          </a:endParaRPr>
        </a:p>
        <a:p>
          <a:pPr algn="l"/>
          <a:endParaRPr lang="en-US" sz="1100"/>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Pre-Insights:</a:t>
          </a:r>
          <a:endParaRPr lang="en-NG">
            <a:effectLst/>
          </a:endParaRPr>
        </a:p>
        <a:p>
          <a:pPr algn="l"/>
          <a:endParaRPr lang="en-NG" sz="1100"/>
        </a:p>
      </xdr:txBody>
    </xdr:sp>
    <xdr:clientData/>
  </xdr:twoCellAnchor>
  <xdr:twoCellAnchor>
    <xdr:from>
      <xdr:col>0</xdr:col>
      <xdr:colOff>352423</xdr:colOff>
      <xdr:row>20</xdr:row>
      <xdr:rowOff>142874</xdr:rowOff>
    </xdr:from>
    <xdr:to>
      <xdr:col>9</xdr:col>
      <xdr:colOff>361950</xdr:colOff>
      <xdr:row>36</xdr:row>
      <xdr:rowOff>57149</xdr:rowOff>
    </xdr:to>
    <xdr:sp macro="" textlink="">
      <xdr:nvSpPr>
        <xdr:cNvPr id="6" name="Rectangle: Rounded Corners 5">
          <a:extLst>
            <a:ext uri="{FF2B5EF4-FFF2-40B4-BE49-F238E27FC236}">
              <a16:creationId xmlns:a16="http://schemas.microsoft.com/office/drawing/2014/main" id="{BC879D8E-B8A7-F01A-1B08-839049636935}"/>
            </a:ext>
          </a:extLst>
        </xdr:cNvPr>
        <xdr:cNvSpPr/>
      </xdr:nvSpPr>
      <xdr:spPr>
        <a:xfrm>
          <a:off x="352423" y="3952874"/>
          <a:ext cx="5495927" cy="29622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r>
            <a:rPr lang="en-US" sz="1100" b="1" baseline="0">
              <a:solidFill>
                <a:schemeClr val="tx1"/>
              </a:solidFill>
            </a:rPr>
            <a:t> </a:t>
          </a:r>
          <a:r>
            <a:rPr lang="en-US" sz="1100" b="1">
              <a:solidFill>
                <a:schemeClr val="tx1"/>
              </a:solidFill>
            </a:rPr>
            <a:t>- Regional</a:t>
          </a:r>
          <a:r>
            <a:rPr lang="en-US" sz="1100" b="1" baseline="0">
              <a:solidFill>
                <a:schemeClr val="tx1"/>
              </a:solidFill>
            </a:rPr>
            <a:t> Performance</a:t>
          </a:r>
          <a:endParaRPr lang="en-US" sz="1100">
            <a:solidFill>
              <a:schemeClr val="tx1"/>
            </a:solidFill>
          </a:endParaRPr>
        </a:p>
        <a:p>
          <a:pPr algn="l"/>
          <a:endParaRPr lang="en-US" sz="1100">
            <a:solidFill>
              <a:schemeClr val="tx1"/>
            </a:solidFill>
          </a:endParaRPr>
        </a:p>
        <a:p>
          <a:pPr algn="l"/>
          <a:r>
            <a:rPr lang="en-US" sz="1100">
              <a:solidFill>
                <a:schemeClr val="tx1"/>
              </a:solidFill>
            </a:rPr>
            <a:t>Observations:</a:t>
          </a:r>
        </a:p>
        <a:p>
          <a:pPr algn="l"/>
          <a:r>
            <a:rPr lang="en-US" sz="1100">
              <a:solidFill>
                <a:schemeClr val="tx1"/>
              </a:solidFill>
            </a:rPr>
            <a:t>- The Northern region</a:t>
          </a:r>
          <a:r>
            <a:rPr lang="en-US" sz="1100" baseline="0">
              <a:solidFill>
                <a:schemeClr val="tx1"/>
              </a:solidFill>
            </a:rPr>
            <a:t>  topped the other regions as the best performing region for the year 2014 by generating </a:t>
          </a:r>
          <a:r>
            <a:rPr lang="en-NG" sz="1100" b="0" i="0" u="none" strike="noStrike">
              <a:solidFill>
                <a:schemeClr val="tx1"/>
              </a:solidFill>
              <a:effectLst/>
              <a:latin typeface="+mn-lt"/>
              <a:ea typeface="+mn-ea"/>
              <a:cs typeface="+mn-cs"/>
            </a:rPr>
            <a:t>32.57%</a:t>
          </a:r>
          <a:r>
            <a:rPr lang="en-NG">
              <a:solidFill>
                <a:schemeClr val="tx1"/>
              </a:solidFill>
            </a:rPr>
            <a:t> </a:t>
          </a:r>
          <a:r>
            <a:rPr lang="en-US">
              <a:solidFill>
                <a:schemeClr val="tx1"/>
              </a:solidFill>
            </a:rPr>
            <a:t>of revenue.</a:t>
          </a:r>
          <a:r>
            <a:rPr lang="en-US" baseline="0">
              <a:solidFill>
                <a:schemeClr val="tx1"/>
              </a:solidFill>
            </a:rPr>
            <a:t> </a:t>
          </a:r>
        </a:p>
        <a:p>
          <a:pPr algn="l"/>
          <a:endParaRPr lang="en-US" sz="1100" baseline="0">
            <a:solidFill>
              <a:schemeClr val="tx1"/>
            </a:solidFill>
          </a:endParaRPr>
        </a:p>
        <a:p>
          <a:pPr algn="l"/>
          <a:r>
            <a:rPr lang="en-US" sz="1100" baseline="0">
              <a:solidFill>
                <a:schemeClr val="tx1"/>
              </a:solidFill>
            </a:rPr>
            <a:t>- The Western region performed poorly for the year with just </a:t>
          </a:r>
          <a:r>
            <a:rPr lang="en-NG" sz="1100" b="0" i="0" u="none" strike="noStrike">
              <a:solidFill>
                <a:schemeClr val="tx1"/>
              </a:solidFill>
              <a:effectLst/>
              <a:latin typeface="+mn-lt"/>
              <a:ea typeface="+mn-ea"/>
              <a:cs typeface="+mn-cs"/>
            </a:rPr>
            <a:t>20.97%</a:t>
          </a:r>
          <a:r>
            <a:rPr lang="en-NG">
              <a:solidFill>
                <a:schemeClr val="tx1"/>
              </a:solidFill>
            </a:rPr>
            <a:t> </a:t>
          </a:r>
          <a:r>
            <a:rPr lang="en-US">
              <a:solidFill>
                <a:schemeClr val="tx1"/>
              </a:solidFill>
            </a:rPr>
            <a:t>revenue.</a:t>
          </a:r>
        </a:p>
        <a:p>
          <a:pPr algn="l"/>
          <a:endParaRPr lang="en-US" sz="1100">
            <a:solidFill>
              <a:schemeClr val="tx1"/>
            </a:solidFill>
          </a:endParaRPr>
        </a:p>
        <a:p>
          <a:pPr algn="l"/>
          <a:endParaRPr lang="en-US"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Pre-Insights:</a:t>
          </a:r>
          <a:endParaRPr lang="en-NG">
            <a:solidFill>
              <a:schemeClr val="tx1"/>
            </a:solidFill>
            <a:effectLst/>
          </a:endParaRPr>
        </a:p>
        <a:p>
          <a:pPr algn="l"/>
          <a:r>
            <a:rPr lang="en-US" sz="1100">
              <a:solidFill>
                <a:schemeClr val="tx1"/>
              </a:solidFill>
            </a:rPr>
            <a:t>- The methodologies used by the Northern part should be studied</a:t>
          </a:r>
          <a:r>
            <a:rPr lang="en-US" sz="1100" baseline="0">
              <a:solidFill>
                <a:schemeClr val="tx1"/>
              </a:solidFill>
            </a:rPr>
            <a:t> and implemented in the Southern and Western regions.</a:t>
          </a:r>
        </a:p>
        <a:p>
          <a:pPr algn="l"/>
          <a:endParaRPr lang="en-US" sz="1100" baseline="0">
            <a:solidFill>
              <a:schemeClr val="tx1"/>
            </a:solidFill>
          </a:endParaRPr>
        </a:p>
        <a:p>
          <a:pPr algn="l"/>
          <a:r>
            <a:rPr lang="en-US" sz="1100" baseline="0">
              <a:solidFill>
                <a:schemeClr val="tx1"/>
              </a:solidFill>
            </a:rPr>
            <a:t>- The Western and Southern region should be audited to finetune the key reason for their low performance.</a:t>
          </a:r>
          <a:endParaRPr lang="en-NG" sz="1100">
            <a:solidFill>
              <a:schemeClr val="tx1"/>
            </a:solidFill>
          </a:endParaRPr>
        </a:p>
      </xdr:txBody>
    </xdr:sp>
    <xdr:clientData/>
  </xdr:twoCellAnchor>
  <xdr:twoCellAnchor>
    <xdr:from>
      <xdr:col>19</xdr:col>
      <xdr:colOff>542925</xdr:colOff>
      <xdr:row>20</xdr:row>
      <xdr:rowOff>133349</xdr:rowOff>
    </xdr:from>
    <xdr:to>
      <xdr:col>29</xdr:col>
      <xdr:colOff>209550</xdr:colOff>
      <xdr:row>39</xdr:row>
      <xdr:rowOff>85725</xdr:rowOff>
    </xdr:to>
    <xdr:sp macro="" textlink="">
      <xdr:nvSpPr>
        <xdr:cNvPr id="7" name="Rectangle: Rounded Corners 6">
          <a:extLst>
            <a:ext uri="{FF2B5EF4-FFF2-40B4-BE49-F238E27FC236}">
              <a16:creationId xmlns:a16="http://schemas.microsoft.com/office/drawing/2014/main" id="{7EFF8619-4907-DB00-D9B0-52C3CCF7ADC9}"/>
            </a:ext>
          </a:extLst>
        </xdr:cNvPr>
        <xdr:cNvSpPr/>
      </xdr:nvSpPr>
      <xdr:spPr>
        <a:xfrm>
          <a:off x="12125325" y="3943349"/>
          <a:ext cx="5762625" cy="357187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r>
            <a:rPr lang="en-US" sz="1100" b="1" baseline="0">
              <a:solidFill>
                <a:schemeClr val="tx1"/>
              </a:solidFill>
            </a:rPr>
            <a:t> - Transaction By Amount</a:t>
          </a:r>
          <a:endParaRPr lang="en-US" sz="1100">
            <a:solidFill>
              <a:schemeClr val="tx1"/>
            </a:solidFill>
          </a:endParaRPr>
        </a:p>
        <a:p>
          <a:pPr algn="l"/>
          <a:endParaRPr lang="en-US" sz="1100">
            <a:solidFill>
              <a:schemeClr val="tx1"/>
            </a:solidFill>
          </a:endParaRPr>
        </a:p>
        <a:p>
          <a:pPr algn="l"/>
          <a:r>
            <a:rPr lang="en-US" sz="1100" b="1">
              <a:solidFill>
                <a:schemeClr val="tx1"/>
              </a:solidFill>
            </a:rPr>
            <a:t>Observations:</a:t>
          </a:r>
        </a:p>
        <a:p>
          <a:pPr algn="l"/>
          <a:r>
            <a:rPr lang="en-US" sz="1100" b="1">
              <a:solidFill>
                <a:schemeClr val="tx1"/>
              </a:solidFill>
            </a:rPr>
            <a:t>- </a:t>
          </a:r>
          <a:r>
            <a:rPr lang="en-US" sz="1100" b="0">
              <a:solidFill>
                <a:schemeClr val="tx1"/>
              </a:solidFill>
            </a:rPr>
            <a:t>The</a:t>
          </a:r>
          <a:r>
            <a:rPr lang="en-US" sz="1100" b="0" baseline="0">
              <a:solidFill>
                <a:schemeClr val="tx1"/>
              </a:solidFill>
            </a:rPr>
            <a:t> goods</a:t>
          </a:r>
          <a:r>
            <a:rPr lang="en-US" sz="1100" b="0">
              <a:solidFill>
                <a:schemeClr val="tx1"/>
              </a:solidFill>
            </a:rPr>
            <a:t> that generated the highset</a:t>
          </a:r>
          <a:r>
            <a:rPr lang="en-US" sz="1100" b="0" baseline="0">
              <a:solidFill>
                <a:schemeClr val="tx1"/>
              </a:solidFill>
            </a:rPr>
            <a:t> counts of sales are goods between the prices of 0 to 1000 with a total of 218 sales count.</a:t>
          </a:r>
        </a:p>
        <a:p>
          <a:pPr algn="l"/>
          <a:endParaRPr lang="en-US" sz="1100" b="0" baseline="0">
            <a:solidFill>
              <a:schemeClr val="tx1"/>
            </a:solidFill>
          </a:endParaRPr>
        </a:p>
        <a:p>
          <a:pPr algn="l"/>
          <a:r>
            <a:rPr lang="en-US" sz="1100" b="0" baseline="0">
              <a:solidFill>
                <a:schemeClr val="tx1"/>
              </a:solidFill>
            </a:rPr>
            <a:t>- Goods between the prices of 7000 to 8000 has the lowest sales count with just 1 sale count.</a:t>
          </a:r>
          <a:endParaRPr lang="en-US" sz="1100" b="0">
            <a:solidFill>
              <a:schemeClr val="tx1"/>
            </a:solidFill>
          </a:endParaRPr>
        </a:p>
        <a:p>
          <a:pPr algn="l"/>
          <a:r>
            <a:rPr lang="en-NG" b="0">
              <a:solidFill>
                <a:schemeClr val="tx1"/>
              </a:solidFill>
            </a:rPr>
            <a:t> </a:t>
          </a:r>
          <a:r>
            <a:rPr lang="en-US" b="0"/>
            <a:t>.</a:t>
          </a:r>
          <a:endParaRPr lang="en-US" sz="11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Pre-Insights:</a:t>
          </a:r>
          <a:endParaRPr lang="en-NG" b="1">
            <a:solidFill>
              <a:schemeClr val="tx1"/>
            </a:solidFill>
            <a:effectLst/>
          </a:endParaRPr>
        </a:p>
        <a:p>
          <a:pPr algn="l"/>
          <a:r>
            <a:rPr lang="en-US" sz="1100" baseline="0">
              <a:solidFill>
                <a:schemeClr val="tx1"/>
              </a:solidFill>
            </a:rPr>
            <a:t>- A price-slash or promo can be placed on the products with lowest sales count to encourage customers.</a:t>
          </a:r>
        </a:p>
        <a:p>
          <a:pPr algn="l"/>
          <a:endParaRPr lang="en-US" sz="1100" baseline="0">
            <a:solidFill>
              <a:schemeClr val="tx1"/>
            </a:solidFill>
          </a:endParaRPr>
        </a:p>
        <a:p>
          <a:pPr algn="l"/>
          <a:r>
            <a:rPr lang="en-US" sz="1100" baseline="0">
              <a:solidFill>
                <a:schemeClr val="tx1"/>
              </a:solidFill>
            </a:rPr>
            <a:t>-The goods with the highest sales count should  be readily available to customers always to optimize more revenue.</a:t>
          </a:r>
        </a:p>
      </xdr:txBody>
    </xdr:sp>
    <xdr:clientData/>
  </xdr:twoCellAnchor>
  <xdr:twoCellAnchor>
    <xdr:from>
      <xdr:col>0</xdr:col>
      <xdr:colOff>295273</xdr:colOff>
      <xdr:row>39</xdr:row>
      <xdr:rowOff>57149</xdr:rowOff>
    </xdr:from>
    <xdr:to>
      <xdr:col>9</xdr:col>
      <xdr:colOff>304800</xdr:colOff>
      <xdr:row>54</xdr:row>
      <xdr:rowOff>161924</xdr:rowOff>
    </xdr:to>
    <xdr:sp macro="" textlink="">
      <xdr:nvSpPr>
        <xdr:cNvPr id="8" name="Rectangle: Rounded Corners 7">
          <a:extLst>
            <a:ext uri="{FF2B5EF4-FFF2-40B4-BE49-F238E27FC236}">
              <a16:creationId xmlns:a16="http://schemas.microsoft.com/office/drawing/2014/main" id="{49B4FA8D-B3A6-61C9-521F-DE1BD47B9D3B}"/>
            </a:ext>
          </a:extLst>
        </xdr:cNvPr>
        <xdr:cNvSpPr/>
      </xdr:nvSpPr>
      <xdr:spPr>
        <a:xfrm>
          <a:off x="295273" y="7486649"/>
          <a:ext cx="5495927" cy="296227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r>
            <a:rPr lang="en-US" sz="1100" b="1" baseline="0">
              <a:solidFill>
                <a:schemeClr val="tx1"/>
              </a:solidFill>
            </a:rPr>
            <a:t> </a:t>
          </a:r>
          <a:r>
            <a:rPr lang="en-US" sz="1100" b="1">
              <a:solidFill>
                <a:schemeClr val="tx1"/>
              </a:solidFill>
            </a:rPr>
            <a:t>-</a:t>
          </a:r>
          <a:r>
            <a:rPr lang="en-US" sz="1100" b="1" baseline="0">
              <a:solidFill>
                <a:schemeClr val="tx1"/>
              </a:solidFill>
            </a:rPr>
            <a:t> Performance by States</a:t>
          </a:r>
          <a:endParaRPr lang="en-US" sz="1100">
            <a:solidFill>
              <a:schemeClr val="tx1"/>
            </a:solidFill>
          </a:endParaRPr>
        </a:p>
        <a:p>
          <a:pPr algn="l"/>
          <a:endParaRPr lang="en-US" sz="1100">
            <a:solidFill>
              <a:schemeClr val="tx1"/>
            </a:solidFill>
          </a:endParaRPr>
        </a:p>
        <a:p>
          <a:pPr algn="l"/>
          <a:r>
            <a:rPr lang="en-US" sz="1100">
              <a:solidFill>
                <a:schemeClr val="tx1"/>
              </a:solidFill>
            </a:rPr>
            <a:t>Observations:</a:t>
          </a:r>
        </a:p>
        <a:p>
          <a:pPr algn="l"/>
          <a:r>
            <a:rPr lang="en-US" sz="1100">
              <a:solidFill>
                <a:schemeClr val="tx1"/>
              </a:solidFill>
            </a:rPr>
            <a:t>-  New York topped</a:t>
          </a:r>
          <a:r>
            <a:rPr lang="en-US" sz="1100" baseline="0">
              <a:solidFill>
                <a:schemeClr val="tx1"/>
              </a:solidFill>
            </a:rPr>
            <a:t> other states as the best performing state with a revenue of </a:t>
          </a:r>
          <a:r>
            <a:rPr lang="en-NG" sz="1100" b="0" i="0" u="none" strike="noStrike">
              <a:solidFill>
                <a:sysClr val="windowText" lastClr="000000"/>
              </a:solidFill>
              <a:effectLst/>
              <a:latin typeface="+mn-lt"/>
              <a:ea typeface="+mn-ea"/>
              <a:cs typeface="+mn-cs"/>
            </a:rPr>
            <a:t>$67,180.50</a:t>
          </a:r>
          <a:r>
            <a:rPr lang="en-NG">
              <a:solidFill>
                <a:sysClr val="windowText" lastClr="000000"/>
              </a:solidFill>
            </a:rPr>
            <a:t> </a:t>
          </a:r>
          <a:r>
            <a:rPr lang="en-US">
              <a:solidFill>
                <a:sysClr val="windowText" lastClr="000000"/>
              </a:solidFill>
            </a:rPr>
            <a:t>.</a:t>
          </a:r>
          <a:endParaRPr lang="en-US" sz="1100" b="0" i="0" u="none" strike="noStrike">
            <a:solidFill>
              <a:schemeClr val="lt1"/>
            </a:solidFill>
            <a:effectLst/>
            <a:latin typeface="+mn-lt"/>
            <a:ea typeface="+mn-ea"/>
            <a:cs typeface="+mn-cs"/>
          </a:endParaRPr>
        </a:p>
        <a:p>
          <a:pPr algn="l"/>
          <a:endParaRPr lang="en-US" sz="1100" b="0" i="0" u="none" strike="noStrike">
            <a:solidFill>
              <a:sysClr val="windowText" lastClr="000000"/>
            </a:solidFill>
            <a:effectLst/>
            <a:latin typeface="+mn-lt"/>
            <a:ea typeface="+mn-ea"/>
            <a:cs typeface="+mn-cs"/>
          </a:endParaRPr>
        </a:p>
        <a:p>
          <a:pPr algn="l"/>
          <a:r>
            <a:rPr lang="en-US" sz="1100" b="0" i="0" u="none" strike="noStrike">
              <a:solidFill>
                <a:sysClr val="windowText" lastClr="000000"/>
              </a:solidFill>
              <a:effectLst/>
              <a:latin typeface="+mn-lt"/>
              <a:ea typeface="+mn-ea"/>
              <a:cs typeface="+mn-cs"/>
            </a:rPr>
            <a:t>- Nevada</a:t>
          </a:r>
          <a:r>
            <a:rPr lang="en-US" sz="1100" b="0" i="0" u="none" strike="noStrike" baseline="0">
              <a:solidFill>
                <a:sysClr val="windowText" lastClr="000000"/>
              </a:solidFill>
              <a:effectLst/>
              <a:latin typeface="+mn-lt"/>
              <a:ea typeface="+mn-ea"/>
              <a:cs typeface="+mn-cs"/>
            </a:rPr>
            <a:t> is the least performing state with a Revenue of </a:t>
          </a:r>
          <a:r>
            <a:rPr lang="en-NG" sz="1100" b="0" i="0" u="none" strike="noStrike">
              <a:solidFill>
                <a:sysClr val="windowText" lastClr="000000"/>
              </a:solidFill>
              <a:effectLst/>
              <a:latin typeface="+mn-lt"/>
              <a:ea typeface="+mn-ea"/>
              <a:cs typeface="+mn-cs"/>
            </a:rPr>
            <a:t>$15,365.50</a:t>
          </a:r>
          <a:r>
            <a:rPr lang="en-US" sz="1100" b="0" i="0" u="none" strike="noStrike">
              <a:solidFill>
                <a:sysClr val="windowText" lastClr="000000"/>
              </a:solidFill>
              <a:effectLst/>
              <a:latin typeface="+mn-lt"/>
              <a:ea typeface="+mn-ea"/>
              <a:cs typeface="+mn-cs"/>
            </a:rPr>
            <a:t>.</a:t>
          </a:r>
          <a:endParaRPr lang="en-US">
            <a:solidFill>
              <a:sysClr val="windowText" lastClr="000000"/>
            </a:solidFill>
          </a:endParaRPr>
        </a:p>
        <a:p>
          <a:pPr algn="l"/>
          <a:endParaRPr lang="en-US" sz="1100">
            <a:solidFill>
              <a:schemeClr val="tx1"/>
            </a:solidFill>
          </a:endParaRPr>
        </a:p>
        <a:p>
          <a:pPr algn="l"/>
          <a:endParaRPr lang="en-US" sz="110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Pre-Insights:</a:t>
          </a:r>
          <a:endParaRPr lang="en-NG">
            <a:solidFill>
              <a:schemeClr val="tx1"/>
            </a:solidFill>
            <a:effectLst/>
          </a:endParaRPr>
        </a:p>
        <a:p>
          <a:pPr algn="l"/>
          <a:r>
            <a:rPr lang="en-US" sz="1100" baseline="0">
              <a:solidFill>
                <a:schemeClr val="tx1"/>
              </a:solidFill>
            </a:rPr>
            <a:t>- Experienced staffs from New York can be transfered to Nevada to help improve the sales and revenue.</a:t>
          </a:r>
        </a:p>
        <a:p>
          <a:pPr algn="l"/>
          <a:endParaRPr lang="en-US" sz="1100" baseline="0">
            <a:solidFill>
              <a:schemeClr val="tx1"/>
            </a:solidFill>
          </a:endParaRPr>
        </a:p>
        <a:p>
          <a:pPr algn="l"/>
          <a:r>
            <a:rPr lang="en-US" sz="1100" baseline="0">
              <a:solidFill>
                <a:schemeClr val="tx1"/>
              </a:solidFill>
            </a:rPr>
            <a:t>- More goods should be shipped to New York since it generates more revenue than the other states.</a:t>
          </a:r>
        </a:p>
      </xdr:txBody>
    </xdr:sp>
    <xdr:clientData/>
  </xdr:twoCellAnchor>
  <xdr:twoCellAnchor>
    <xdr:from>
      <xdr:col>10</xdr:col>
      <xdr:colOff>304798</xdr:colOff>
      <xdr:row>42</xdr:row>
      <xdr:rowOff>104774</xdr:rowOff>
    </xdr:from>
    <xdr:to>
      <xdr:col>19</xdr:col>
      <xdr:colOff>409575</xdr:colOff>
      <xdr:row>58</xdr:row>
      <xdr:rowOff>9525</xdr:rowOff>
    </xdr:to>
    <xdr:sp macro="" textlink="">
      <xdr:nvSpPr>
        <xdr:cNvPr id="9" name="Rectangle: Rounded Corners 8">
          <a:extLst>
            <a:ext uri="{FF2B5EF4-FFF2-40B4-BE49-F238E27FC236}">
              <a16:creationId xmlns:a16="http://schemas.microsoft.com/office/drawing/2014/main" id="{76CE7452-694A-1B42-776A-793CD3AA6822}"/>
            </a:ext>
          </a:extLst>
        </xdr:cNvPr>
        <xdr:cNvSpPr/>
      </xdr:nvSpPr>
      <xdr:spPr>
        <a:xfrm>
          <a:off x="6400798" y="8105774"/>
          <a:ext cx="5591177" cy="2952751"/>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 Top 6 Ship Cities by Revenue</a:t>
          </a:r>
          <a:endParaRPr lang="en-US" sz="1100" b="1" baseline="0"/>
        </a:p>
        <a:p>
          <a:pPr algn="l"/>
          <a:endParaRPr lang="en-US" sz="1100" b="1" baseline="0"/>
        </a:p>
        <a:p>
          <a:pPr algn="l"/>
          <a:r>
            <a:rPr lang="en-US" sz="1100" b="1" baseline="0"/>
            <a:t>Observations:</a:t>
          </a:r>
        </a:p>
        <a:p>
          <a:pPr algn="l"/>
          <a:endParaRPr lang="en-US" sz="1100" b="1" baseline="0"/>
        </a:p>
        <a:p>
          <a:pPr algn="l"/>
          <a:r>
            <a:rPr lang="en-US" sz="1100" b="0" baseline="0"/>
            <a:t>- New York city topped the other ship cities with a revenue of </a:t>
          </a:r>
          <a:r>
            <a:rPr lang="en-NG" sz="1100" b="0" i="0">
              <a:solidFill>
                <a:schemeClr val="lt1"/>
              </a:solidFill>
              <a:effectLst/>
              <a:latin typeface="+mn-lt"/>
              <a:ea typeface="+mn-ea"/>
              <a:cs typeface="+mn-cs"/>
            </a:rPr>
            <a:t>$67,180.50</a:t>
          </a:r>
          <a:r>
            <a:rPr lang="en-NG" sz="1100" b="0">
              <a:solidFill>
                <a:schemeClr val="lt1"/>
              </a:solidFill>
              <a:effectLst/>
              <a:latin typeface="+mn-lt"/>
              <a:ea typeface="+mn-ea"/>
              <a:cs typeface="+mn-cs"/>
            </a:rPr>
            <a:t> </a:t>
          </a:r>
          <a:r>
            <a:rPr lang="en-US" sz="1100" b="0">
              <a:solidFill>
                <a:schemeClr val="lt1"/>
              </a:solidFill>
              <a:effectLst/>
              <a:latin typeface="+mn-lt"/>
              <a:ea typeface="+mn-ea"/>
              <a:cs typeface="+mn-cs"/>
            </a:rPr>
            <a:t>.</a:t>
          </a:r>
        </a:p>
        <a:p>
          <a:pPr algn="l"/>
          <a:endParaRPr lang="en-US" sz="1100" b="0" baseline="0">
            <a:solidFill>
              <a:schemeClr val="lt1"/>
            </a:solidFill>
            <a:effectLst/>
            <a:latin typeface="+mn-lt"/>
            <a:ea typeface="+mn-ea"/>
            <a:cs typeface="+mn-cs"/>
          </a:endParaRPr>
        </a:p>
        <a:p>
          <a:pPr algn="l"/>
          <a:r>
            <a:rPr lang="en-US" sz="1100" b="0" baseline="0">
              <a:solidFill>
                <a:schemeClr val="lt1"/>
              </a:solidFill>
              <a:effectLst/>
              <a:latin typeface="+mn-lt"/>
              <a:ea typeface="+mn-ea"/>
              <a:cs typeface="+mn-cs"/>
            </a:rPr>
            <a:t>- Milwaukee generated the least revenue amongst others with a poor revenue of </a:t>
          </a:r>
          <a:r>
            <a:rPr lang="en-NG" sz="1100" b="0" i="0" u="none" strike="noStrike">
              <a:solidFill>
                <a:schemeClr val="lt1"/>
              </a:solidFill>
              <a:effectLst/>
              <a:latin typeface="+mn-lt"/>
              <a:ea typeface="+mn-ea"/>
              <a:cs typeface="+mn-cs"/>
            </a:rPr>
            <a:t>$37,428.00</a:t>
          </a:r>
          <a:r>
            <a:rPr lang="en-US" sz="1100" b="0" i="0" u="none" strike="noStrike">
              <a:solidFill>
                <a:schemeClr val="lt1"/>
              </a:solidFill>
              <a:effectLst/>
              <a:latin typeface="+mn-lt"/>
              <a:ea typeface="+mn-ea"/>
              <a:cs typeface="+mn-cs"/>
            </a:rPr>
            <a:t>.</a:t>
          </a:r>
          <a:r>
            <a:rPr lang="en-US" sz="1100" b="0" baseline="0"/>
            <a:t> </a:t>
          </a:r>
          <a:endParaRPr lang="en-US" sz="1100" b="0" i="0" u="none" strike="noStrike" baseline="0">
            <a:solidFill>
              <a:schemeClr val="lt1"/>
            </a:solidFill>
            <a:effectLst/>
            <a:latin typeface="+mn-lt"/>
            <a:ea typeface="+mn-ea"/>
            <a:cs typeface="+mn-cs"/>
          </a:endParaRP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Pre-Insights: </a:t>
          </a:r>
        </a:p>
        <a:p>
          <a:pPr algn="l"/>
          <a:r>
            <a:rPr lang="en-US" sz="1100" b="0" i="0" u="none" strike="noStrike" baseline="0">
              <a:solidFill>
                <a:schemeClr val="lt1"/>
              </a:solidFill>
              <a:effectLst/>
              <a:latin typeface="+mn-lt"/>
              <a:ea typeface="+mn-ea"/>
              <a:cs typeface="+mn-cs"/>
            </a:rPr>
            <a:t>- The methodologies used in New York City to generate outstanding revenue should be adopted in Milwaukee and Chicago.</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New York ship city should be given more shipping contracts to encourage them.</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lt1"/>
              </a:solidFill>
              <a:effectLst/>
              <a:latin typeface="+mn-lt"/>
              <a:ea typeface="+mn-ea"/>
              <a:cs typeface="+mn-cs"/>
            </a:rPr>
            <a:t> </a:t>
          </a:r>
        </a:p>
        <a:p>
          <a:pPr algn="l"/>
          <a:endParaRPr lang="en-US" sz="1100" b="0" i="0" u="none" strike="noStrike" baseline="0">
            <a:solidFill>
              <a:schemeClr val="lt1"/>
            </a:solidFill>
            <a:effectLst/>
            <a:latin typeface="+mn-lt"/>
            <a:ea typeface="+mn-ea"/>
            <a:cs typeface="+mn-cs"/>
          </a:endParaRPr>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endParaRPr lang="en-NG">
            <a:effectLst/>
          </a:endParaRPr>
        </a:p>
        <a:p>
          <a:pPr algn="l"/>
          <a:endParaRPr lang="en-NG" sz="1100"/>
        </a:p>
      </xdr:txBody>
    </xdr:sp>
    <xdr:clientData/>
  </xdr:twoCellAnchor>
  <xdr:twoCellAnchor>
    <xdr:from>
      <xdr:col>20</xdr:col>
      <xdr:colOff>200025</xdr:colOff>
      <xdr:row>40</xdr:row>
      <xdr:rowOff>66675</xdr:rowOff>
    </xdr:from>
    <xdr:to>
      <xdr:col>29</xdr:col>
      <xdr:colOff>476250</xdr:colOff>
      <xdr:row>57</xdr:row>
      <xdr:rowOff>152401</xdr:rowOff>
    </xdr:to>
    <xdr:sp macro="" textlink="">
      <xdr:nvSpPr>
        <xdr:cNvPr id="10" name="Rectangle: Rounded Corners 9">
          <a:extLst>
            <a:ext uri="{FF2B5EF4-FFF2-40B4-BE49-F238E27FC236}">
              <a16:creationId xmlns:a16="http://schemas.microsoft.com/office/drawing/2014/main" id="{9DA94AD0-3A50-4D78-7FA1-4F1416E2B0CE}"/>
            </a:ext>
          </a:extLst>
        </xdr:cNvPr>
        <xdr:cNvSpPr/>
      </xdr:nvSpPr>
      <xdr:spPr>
        <a:xfrm>
          <a:off x="12392025" y="7686675"/>
          <a:ext cx="5762625" cy="332422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ANALYSIS</a:t>
          </a:r>
          <a:r>
            <a:rPr lang="en-US" sz="1100" b="1" baseline="0">
              <a:solidFill>
                <a:schemeClr val="tx1"/>
              </a:solidFill>
            </a:rPr>
            <a:t> - Top Cities by Revenue</a:t>
          </a:r>
        </a:p>
        <a:p>
          <a:pPr algn="l"/>
          <a:endParaRPr lang="en-US" sz="1100">
            <a:solidFill>
              <a:schemeClr val="tx1"/>
            </a:solidFill>
          </a:endParaRPr>
        </a:p>
        <a:p>
          <a:pPr algn="l"/>
          <a:r>
            <a:rPr lang="en-US" sz="1100" b="1">
              <a:solidFill>
                <a:schemeClr val="tx1"/>
              </a:solidFill>
            </a:rPr>
            <a:t>Observations:</a:t>
          </a:r>
        </a:p>
        <a:p>
          <a:pPr algn="l"/>
          <a:endParaRPr lang="en-US" sz="1100" b="1">
            <a:solidFill>
              <a:schemeClr val="tx1"/>
            </a:solidFill>
          </a:endParaRPr>
        </a:p>
        <a:p>
          <a:pPr algn="l"/>
          <a:r>
            <a:rPr lang="en-US" sz="1100" b="1">
              <a:solidFill>
                <a:schemeClr val="tx1"/>
              </a:solidFill>
            </a:rPr>
            <a:t>- </a:t>
          </a:r>
          <a:r>
            <a:rPr lang="en-US" sz="1100" b="0">
              <a:solidFill>
                <a:schemeClr val="tx1"/>
              </a:solidFill>
            </a:rPr>
            <a:t>New</a:t>
          </a:r>
          <a:r>
            <a:rPr lang="en-US" sz="1100" b="0" baseline="0">
              <a:solidFill>
                <a:schemeClr val="tx1"/>
              </a:solidFill>
            </a:rPr>
            <a:t> York city has generated an amazing revenue of </a:t>
          </a:r>
          <a:r>
            <a:rPr lang="en-NG" sz="1100" b="0" i="0" u="none" strike="noStrike">
              <a:solidFill>
                <a:schemeClr val="tx1"/>
              </a:solidFill>
              <a:effectLst/>
              <a:latin typeface="+mn-lt"/>
              <a:ea typeface="+mn-ea"/>
              <a:cs typeface="+mn-cs"/>
            </a:rPr>
            <a:t>$67,180.50</a:t>
          </a:r>
          <a:r>
            <a:rPr lang="en-NG">
              <a:solidFill>
                <a:schemeClr val="tx1"/>
              </a:solidFill>
            </a:rPr>
            <a:t> </a:t>
          </a:r>
          <a:r>
            <a:rPr lang="en-US">
              <a:solidFill>
                <a:schemeClr val="tx1"/>
              </a:solidFill>
            </a:rPr>
            <a:t> above the other cities.</a:t>
          </a:r>
        </a:p>
        <a:p>
          <a:pPr algn="l"/>
          <a:endParaRPr lang="en-US" sz="1100" b="0">
            <a:solidFill>
              <a:schemeClr val="tx1"/>
            </a:solidFill>
          </a:endParaRPr>
        </a:p>
        <a:p>
          <a:pPr algn="l"/>
          <a:r>
            <a:rPr lang="en-US" sz="1100" b="0">
              <a:solidFill>
                <a:schemeClr val="tx1"/>
              </a:solidFill>
            </a:rPr>
            <a:t>- Portland and Miami</a:t>
          </a:r>
          <a:r>
            <a:rPr lang="en-US" sz="1100" b="0" baseline="0">
              <a:solidFill>
                <a:schemeClr val="tx1"/>
              </a:solidFill>
            </a:rPr>
            <a:t> has a close reach in their revenues generated. Portland generated </a:t>
          </a:r>
          <a:r>
            <a:rPr lang="en-NG" sz="1100" b="0" i="0" u="none" strike="noStrike">
              <a:solidFill>
                <a:schemeClr val="tx1"/>
              </a:solidFill>
              <a:effectLst/>
              <a:latin typeface="+mn-lt"/>
              <a:ea typeface="+mn-ea"/>
              <a:cs typeface="+mn-cs"/>
            </a:rPr>
            <a:t>$50,208.35</a:t>
          </a:r>
          <a:r>
            <a:rPr lang="en-NG">
              <a:solidFill>
                <a:schemeClr val="tx1"/>
              </a:solidFill>
            </a:rPr>
            <a:t> </a:t>
          </a:r>
          <a:r>
            <a:rPr lang="en-US">
              <a:solidFill>
                <a:schemeClr val="tx1"/>
              </a:solidFill>
            </a:rPr>
            <a:t> while Miami generated </a:t>
          </a:r>
          <a:r>
            <a:rPr lang="en-NG" sz="1100" b="0" i="0" u="none" strike="noStrike">
              <a:solidFill>
                <a:schemeClr val="tx1"/>
              </a:solidFill>
              <a:effectLst/>
              <a:latin typeface="+mn-lt"/>
              <a:ea typeface="+mn-ea"/>
              <a:cs typeface="+mn-cs"/>
            </a:rPr>
            <a:t>$50,145.33</a:t>
          </a:r>
          <a:r>
            <a:rPr lang="en-NG">
              <a:solidFill>
                <a:schemeClr val="tx1"/>
              </a:solidFill>
            </a:rPr>
            <a:t> </a:t>
          </a:r>
          <a:endParaRPr lang="en-US" sz="1100" b="0">
            <a:solidFill>
              <a:schemeClr val="tx1"/>
            </a:solidFill>
          </a:endParaRPr>
        </a:p>
        <a:p>
          <a:pPr algn="l"/>
          <a:r>
            <a:rPr lang="en-NG" b="0">
              <a:solidFill>
                <a:schemeClr val="tx1"/>
              </a:solidFill>
            </a:rPr>
            <a:t> </a:t>
          </a:r>
          <a:endParaRPr lang="en-US" b="0">
            <a:solidFill>
              <a:schemeClr val="lt1"/>
            </a:solidFill>
          </a:endParaRPr>
        </a:p>
        <a:p>
          <a:pPr algn="l"/>
          <a:r>
            <a:rPr lang="en-US" sz="1100" b="0">
              <a:solidFill>
                <a:schemeClr val="tx1"/>
              </a:solidFill>
            </a:rPr>
            <a:t>-</a:t>
          </a:r>
          <a:r>
            <a:rPr lang="en-US" sz="1100" b="0" baseline="0">
              <a:solidFill>
                <a:schemeClr val="tx1"/>
              </a:solidFill>
            </a:rPr>
            <a:t> </a:t>
          </a:r>
          <a:r>
            <a:rPr lang="en-US" sz="1100" b="0" i="0" u="none" strike="noStrike">
              <a:solidFill>
                <a:schemeClr val="tx1"/>
              </a:solidFill>
              <a:effectLst/>
              <a:latin typeface="+mn-lt"/>
              <a:ea typeface="+mn-ea"/>
              <a:cs typeface="+mn-cs"/>
            </a:rPr>
            <a:t>Chicago performed</a:t>
          </a:r>
          <a:r>
            <a:rPr lang="en-US" sz="1100" b="0" i="0" u="none" strike="noStrike" baseline="0">
              <a:solidFill>
                <a:schemeClr val="tx1"/>
              </a:solidFill>
              <a:effectLst/>
              <a:latin typeface="+mn-lt"/>
              <a:ea typeface="+mn-ea"/>
              <a:cs typeface="+mn-cs"/>
            </a:rPr>
            <a:t> poorly with a revenue of </a:t>
          </a:r>
          <a:r>
            <a:rPr lang="en-US">
              <a:solidFill>
                <a:schemeClr val="tx1"/>
              </a:solidFill>
            </a:rPr>
            <a:t> </a:t>
          </a:r>
          <a:r>
            <a:rPr lang="en-US" sz="1100" b="0" i="0" u="none" strike="noStrike">
              <a:solidFill>
                <a:schemeClr val="tx1"/>
              </a:solidFill>
              <a:effectLst/>
              <a:latin typeface="+mn-lt"/>
              <a:ea typeface="+mn-ea"/>
              <a:cs typeface="+mn-cs"/>
            </a:rPr>
            <a:t>$41,095.01</a:t>
          </a:r>
          <a:r>
            <a:rPr lang="en-US">
              <a:solidFill>
                <a:schemeClr val="tx1"/>
              </a:solidFill>
            </a:rPr>
            <a:t>  </a:t>
          </a:r>
          <a:endParaRPr lang="en-US" sz="1100" b="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Pre-Insights:</a:t>
          </a:r>
          <a:endParaRPr lang="en-NG" b="1">
            <a:solidFill>
              <a:schemeClr val="tx1"/>
            </a:solidFill>
            <a:effectLst/>
          </a:endParaRPr>
        </a:p>
        <a:p>
          <a:pPr algn="l"/>
          <a:r>
            <a:rPr lang="en-US" sz="1100" baseline="0">
              <a:solidFill>
                <a:schemeClr val="tx1"/>
              </a:solidFill>
            </a:rPr>
            <a:t>- Rewarding bonuses or benefits should be given to staffs in New York to motivate and boost the work morale.</a:t>
          </a:r>
          <a:endParaRPr lang="en-US" sz="1100" b="0" i="0" u="none" strike="noStrike" baseline="0">
            <a:solidFill>
              <a:schemeClr val="lt1"/>
            </a:solidFill>
            <a:effectLst/>
            <a:latin typeface="+mn-lt"/>
            <a:ea typeface="+mn-ea"/>
            <a:cs typeface="+mn-cs"/>
          </a:endParaRP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tx1"/>
              </a:solidFill>
              <a:effectLst/>
              <a:latin typeface="+mn-lt"/>
              <a:ea typeface="+mn-ea"/>
              <a:cs typeface="+mn-cs"/>
            </a:rPr>
            <a:t>- A competitive scheme can be put in place for Portland and Miami to make them generate more revenues for the company</a:t>
          </a:r>
          <a:r>
            <a:rPr lang="en-US" sz="1100" b="0" i="0" u="none" strike="noStrike" baseline="0">
              <a:solidFill>
                <a:schemeClr val="lt1"/>
              </a:solidFill>
              <a:effectLst/>
              <a:latin typeface="+mn-lt"/>
              <a:ea typeface="+mn-ea"/>
              <a:cs typeface="+mn-cs"/>
            </a:rPr>
            <a:t>.</a:t>
          </a:r>
        </a:p>
        <a:p>
          <a:pPr algn="l"/>
          <a:endParaRPr lang="en-US" sz="1100" b="0" i="0" u="none" strike="noStrike" baseline="0">
            <a:solidFill>
              <a:schemeClr val="lt1"/>
            </a:solidFill>
            <a:effectLst/>
            <a:latin typeface="+mn-lt"/>
            <a:ea typeface="+mn-ea"/>
            <a:cs typeface="+mn-cs"/>
          </a:endParaRPr>
        </a:p>
        <a:p>
          <a:pPr algn="l"/>
          <a:r>
            <a:rPr lang="en-US" sz="1100" b="0" i="0" u="none" strike="noStrike" baseline="0">
              <a:solidFill>
                <a:schemeClr val="tx1"/>
              </a:solidFill>
              <a:effectLst/>
              <a:latin typeface="+mn-lt"/>
              <a:ea typeface="+mn-ea"/>
              <a:cs typeface="+mn-cs"/>
            </a:rPr>
            <a:t>-An investigation should be carried out on Chicago to finetune the root causes of their poor revenue generation.</a:t>
          </a:r>
          <a:endParaRPr lang="en-US" sz="1100" baseline="0">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5989955" cy="301879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9519</xdr:colOff>
      <xdr:row>0</xdr:row>
      <xdr:rowOff>44824</xdr:rowOff>
    </xdr:from>
    <xdr:to>
      <xdr:col>24</xdr:col>
      <xdr:colOff>257735</xdr:colOff>
      <xdr:row>1</xdr:row>
      <xdr:rowOff>168088</xdr:rowOff>
    </xdr:to>
    <xdr:sp macro="" textlink="">
      <xdr:nvSpPr>
        <xdr:cNvPr id="2" name="Rectangle: Rounded Corners 1">
          <a:extLst>
            <a:ext uri="{FF2B5EF4-FFF2-40B4-BE49-F238E27FC236}">
              <a16:creationId xmlns:a16="http://schemas.microsoft.com/office/drawing/2014/main" id="{CCDD1A94-2B6D-8B7A-60CC-7EB8EAF6A55A}"/>
            </a:ext>
          </a:extLst>
        </xdr:cNvPr>
        <xdr:cNvSpPr/>
      </xdr:nvSpPr>
      <xdr:spPr>
        <a:xfrm rot="10800000" flipV="1">
          <a:off x="9519" y="44824"/>
          <a:ext cx="14771040" cy="31376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accent5">
                  <a:lumMod val="50000"/>
                </a:schemeClr>
              </a:solidFill>
              <a:latin typeface="Garamond" panose="02020404030301010803" pitchFamily="18" charset="0"/>
            </a:rPr>
            <a:t>FLUTTERCO</a:t>
          </a:r>
          <a:r>
            <a:rPr lang="en-US" sz="1800" baseline="0">
              <a:solidFill>
                <a:schemeClr val="accent5">
                  <a:lumMod val="50000"/>
                </a:schemeClr>
              </a:solidFill>
              <a:latin typeface="Garamond" panose="02020404030301010803" pitchFamily="18" charset="0"/>
            </a:rPr>
            <a:t> GROUP OF COMPANIES' SALES REPORT FOR THE YEAR 2014</a:t>
          </a:r>
          <a:endParaRPr lang="en-NG" sz="1800">
            <a:solidFill>
              <a:schemeClr val="accent5">
                <a:lumMod val="50000"/>
              </a:schemeClr>
            </a:solidFill>
            <a:latin typeface="Garamond" panose="02020404030301010803" pitchFamily="18" charset="0"/>
          </a:endParaRPr>
        </a:p>
      </xdr:txBody>
    </xdr:sp>
    <xdr:clientData/>
  </xdr:twoCellAnchor>
  <xdr:twoCellAnchor>
    <xdr:from>
      <xdr:col>0</xdr:col>
      <xdr:colOff>88899</xdr:colOff>
      <xdr:row>7</xdr:row>
      <xdr:rowOff>52917</xdr:rowOff>
    </xdr:from>
    <xdr:to>
      <xdr:col>12</xdr:col>
      <xdr:colOff>246529</xdr:colOff>
      <xdr:row>16</xdr:row>
      <xdr:rowOff>134471</xdr:rowOff>
    </xdr:to>
    <xdr:graphicFrame macro="">
      <xdr:nvGraphicFramePr>
        <xdr:cNvPr id="3" name="Chart 2">
          <a:extLst>
            <a:ext uri="{FF2B5EF4-FFF2-40B4-BE49-F238E27FC236}">
              <a16:creationId xmlns:a16="http://schemas.microsoft.com/office/drawing/2014/main" id="{28656D97-71D5-4EAD-882B-7634E2D4E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87219</xdr:colOff>
      <xdr:row>16</xdr:row>
      <xdr:rowOff>188009</xdr:rowOff>
    </xdr:from>
    <xdr:to>
      <xdr:col>5</xdr:col>
      <xdr:colOff>459440</xdr:colOff>
      <xdr:row>27</xdr:row>
      <xdr:rowOff>82176</xdr:rowOff>
    </xdr:to>
    <xdr:graphicFrame macro="">
      <xdr:nvGraphicFramePr>
        <xdr:cNvPr id="5" name="Chart 4">
          <a:extLst>
            <a:ext uri="{FF2B5EF4-FFF2-40B4-BE49-F238E27FC236}">
              <a16:creationId xmlns:a16="http://schemas.microsoft.com/office/drawing/2014/main" id="{E7EAE443-27F1-411D-A4A8-CE6D27560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97678</xdr:colOff>
      <xdr:row>17</xdr:row>
      <xdr:rowOff>44823</xdr:rowOff>
    </xdr:from>
    <xdr:to>
      <xdr:col>21</xdr:col>
      <xdr:colOff>33616</xdr:colOff>
      <xdr:row>27</xdr:row>
      <xdr:rowOff>168088</xdr:rowOff>
    </xdr:to>
    <xdr:graphicFrame macro="">
      <xdr:nvGraphicFramePr>
        <xdr:cNvPr id="7" name="Chart 6">
          <a:extLst>
            <a:ext uri="{FF2B5EF4-FFF2-40B4-BE49-F238E27FC236}">
              <a16:creationId xmlns:a16="http://schemas.microsoft.com/office/drawing/2014/main" id="{A0E272B1-E74A-4112-92F2-CDD54310D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51670</xdr:colOff>
      <xdr:row>27</xdr:row>
      <xdr:rowOff>153519</xdr:rowOff>
    </xdr:from>
    <xdr:to>
      <xdr:col>5</xdr:col>
      <xdr:colOff>403412</xdr:colOff>
      <xdr:row>38</xdr:row>
      <xdr:rowOff>49802</xdr:rowOff>
    </xdr:to>
    <xdr:graphicFrame macro="">
      <xdr:nvGraphicFramePr>
        <xdr:cNvPr id="9" name="Chart 8">
          <a:extLst>
            <a:ext uri="{FF2B5EF4-FFF2-40B4-BE49-F238E27FC236}">
              <a16:creationId xmlns:a16="http://schemas.microsoft.com/office/drawing/2014/main" id="{EA24B987-EF96-4734-9498-9625724BB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481853</xdr:colOff>
      <xdr:row>28</xdr:row>
      <xdr:rowOff>30504</xdr:rowOff>
    </xdr:from>
    <xdr:to>
      <xdr:col>11</xdr:col>
      <xdr:colOff>168088</xdr:colOff>
      <xdr:row>38</xdr:row>
      <xdr:rowOff>94005</xdr:rowOff>
    </xdr:to>
    <xdr:graphicFrame macro="">
      <xdr:nvGraphicFramePr>
        <xdr:cNvPr id="10" name="Chart 9">
          <a:extLst>
            <a:ext uri="{FF2B5EF4-FFF2-40B4-BE49-F238E27FC236}">
              <a16:creationId xmlns:a16="http://schemas.microsoft.com/office/drawing/2014/main" id="{242E38F0-1B60-4435-B389-2BD7A77D7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42334</xdr:colOff>
      <xdr:row>2</xdr:row>
      <xdr:rowOff>11206</xdr:rowOff>
    </xdr:from>
    <xdr:to>
      <xdr:col>2</xdr:col>
      <xdr:colOff>358589</xdr:colOff>
      <xdr:row>7</xdr:row>
      <xdr:rowOff>0</xdr:rowOff>
    </xdr:to>
    <xdr:sp macro="" textlink="">
      <xdr:nvSpPr>
        <xdr:cNvPr id="11" name="Rectangle: Rounded Corners 10">
          <a:extLst>
            <a:ext uri="{FF2B5EF4-FFF2-40B4-BE49-F238E27FC236}">
              <a16:creationId xmlns:a16="http://schemas.microsoft.com/office/drawing/2014/main" id="{F979B145-CADA-4610-2890-6B27CE2ED294}"/>
            </a:ext>
          </a:extLst>
        </xdr:cNvPr>
        <xdr:cNvSpPr/>
      </xdr:nvSpPr>
      <xdr:spPr>
        <a:xfrm>
          <a:off x="42334" y="392206"/>
          <a:ext cx="1526490" cy="9412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rPr>
            <a:t> Best</a:t>
          </a:r>
          <a:r>
            <a:rPr lang="en-US" sz="1000" b="1" baseline="0">
              <a:solidFill>
                <a:schemeClr val="accent5">
                  <a:lumMod val="50000"/>
                </a:schemeClr>
              </a:solidFill>
            </a:rPr>
            <a:t> Performing Month</a:t>
          </a:r>
          <a:endParaRPr lang="en-US" sz="1000" b="1" baseline="0">
            <a:solidFill>
              <a:schemeClr val="accent5">
                <a:lumMod val="50000"/>
              </a:schemeClr>
            </a:solidFill>
            <a:latin typeface="Garamond" panose="02020404030301010803" pitchFamily="18" charset="0"/>
          </a:endParaRPr>
        </a:p>
        <a:p>
          <a:pPr algn="r"/>
          <a:r>
            <a:rPr lang="en-US" sz="1100" b="1" baseline="0">
              <a:solidFill>
                <a:schemeClr val="accent5">
                  <a:lumMod val="50000"/>
                </a:schemeClr>
              </a:solidFill>
              <a:latin typeface="Garamond" panose="02020404030301010803" pitchFamily="18" charset="0"/>
            </a:rPr>
            <a:t>December</a:t>
          </a:r>
        </a:p>
        <a:p>
          <a:pPr algn="r"/>
          <a:r>
            <a:rPr lang="en-US" sz="1100" b="1" baseline="0">
              <a:solidFill>
                <a:schemeClr val="accent5">
                  <a:lumMod val="50000"/>
                </a:schemeClr>
              </a:solidFill>
              <a:latin typeface="Garamond" panose="02020404030301010803" pitchFamily="18" charset="0"/>
            </a:rPr>
            <a:t>By $66,642.78 Revenue</a:t>
          </a:r>
        </a:p>
        <a:p>
          <a:pPr algn="l"/>
          <a:endParaRPr lang="en-US" sz="1100" baseline="0">
            <a:solidFill>
              <a:schemeClr val="accent5">
                <a:lumMod val="50000"/>
              </a:schemeClr>
            </a:solidFill>
          </a:endParaRPr>
        </a:p>
      </xdr:txBody>
    </xdr:sp>
    <xdr:clientData/>
  </xdr:twoCellAnchor>
  <xdr:twoCellAnchor>
    <xdr:from>
      <xdr:col>11</xdr:col>
      <xdr:colOff>212291</xdr:colOff>
      <xdr:row>28</xdr:row>
      <xdr:rowOff>52916</xdr:rowOff>
    </xdr:from>
    <xdr:to>
      <xdr:col>21</xdr:col>
      <xdr:colOff>44823</xdr:colOff>
      <xdr:row>38</xdr:row>
      <xdr:rowOff>126999</xdr:rowOff>
    </xdr:to>
    <xdr:graphicFrame macro="">
      <xdr:nvGraphicFramePr>
        <xdr:cNvPr id="19" name="Chart 18">
          <a:extLst>
            <a:ext uri="{FF2B5EF4-FFF2-40B4-BE49-F238E27FC236}">
              <a16:creationId xmlns:a16="http://schemas.microsoft.com/office/drawing/2014/main" id="{BC97F1F1-198F-4B96-8C88-F9CAA301E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369794</xdr:colOff>
      <xdr:row>2</xdr:row>
      <xdr:rowOff>11206</xdr:rowOff>
    </xdr:from>
    <xdr:to>
      <xdr:col>5</xdr:col>
      <xdr:colOff>100852</xdr:colOff>
      <xdr:row>6</xdr:row>
      <xdr:rowOff>179294</xdr:rowOff>
    </xdr:to>
    <xdr:sp macro="" textlink="">
      <xdr:nvSpPr>
        <xdr:cNvPr id="31" name="Rectangle: Rounded Corners 30">
          <a:extLst>
            <a:ext uri="{FF2B5EF4-FFF2-40B4-BE49-F238E27FC236}">
              <a16:creationId xmlns:a16="http://schemas.microsoft.com/office/drawing/2014/main" id="{2FB69498-5223-9EF6-962D-A809DE5F8968}"/>
            </a:ext>
          </a:extLst>
        </xdr:cNvPr>
        <xdr:cNvSpPr/>
      </xdr:nvSpPr>
      <xdr:spPr>
        <a:xfrm>
          <a:off x="1580029" y="392206"/>
          <a:ext cx="1546411" cy="9300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Highest Region</a:t>
          </a:r>
        </a:p>
        <a:p>
          <a:pPr algn="r"/>
          <a:r>
            <a:rPr lang="en-US" sz="1100" b="1">
              <a:solidFill>
                <a:schemeClr val="accent5">
                  <a:lumMod val="50000"/>
                </a:schemeClr>
              </a:solidFill>
              <a:latin typeface="Garamond" panose="02020404030301010803" pitchFamily="18" charset="0"/>
            </a:rPr>
            <a:t>North</a:t>
          </a:r>
        </a:p>
        <a:p>
          <a:pPr algn="r"/>
          <a:r>
            <a:rPr lang="en-US" sz="1100" b="1">
              <a:solidFill>
                <a:schemeClr val="accent5">
                  <a:lumMod val="50000"/>
                </a:schemeClr>
              </a:solidFill>
              <a:latin typeface="Garamond" panose="02020404030301010803" pitchFamily="18" charset="0"/>
            </a:rPr>
            <a:t>By</a:t>
          </a:r>
          <a:r>
            <a:rPr lang="en-US" sz="1100" b="1" baseline="0">
              <a:solidFill>
                <a:schemeClr val="accent5">
                  <a:lumMod val="50000"/>
                </a:schemeClr>
              </a:solidFill>
              <a:latin typeface="Garamond" panose="02020404030301010803" pitchFamily="18" charset="0"/>
            </a:rPr>
            <a:t> </a:t>
          </a:r>
          <a:r>
            <a:rPr lang="en-US" sz="1100" b="1">
              <a:solidFill>
                <a:schemeClr val="accent5">
                  <a:lumMod val="50000"/>
                </a:schemeClr>
              </a:solidFill>
              <a:latin typeface="Garamond" panose="02020404030301010803" pitchFamily="18" charset="0"/>
            </a:rPr>
            <a:t>32.57%</a:t>
          </a:r>
          <a:endParaRPr lang="en-NG" sz="1100" b="1">
            <a:solidFill>
              <a:schemeClr val="accent5">
                <a:lumMod val="50000"/>
              </a:schemeClr>
            </a:solidFill>
            <a:latin typeface="Garamond" panose="02020404030301010803" pitchFamily="18" charset="0"/>
          </a:endParaRPr>
        </a:p>
      </xdr:txBody>
    </xdr:sp>
    <xdr:clientData/>
  </xdr:twoCellAnchor>
  <xdr:twoCellAnchor>
    <xdr:from>
      <xdr:col>5</xdr:col>
      <xdr:colOff>112060</xdr:colOff>
      <xdr:row>2</xdr:row>
      <xdr:rowOff>11206</xdr:rowOff>
    </xdr:from>
    <xdr:to>
      <xdr:col>7</xdr:col>
      <xdr:colOff>481852</xdr:colOff>
      <xdr:row>7</xdr:row>
      <xdr:rowOff>0</xdr:rowOff>
    </xdr:to>
    <xdr:sp macro="" textlink="">
      <xdr:nvSpPr>
        <xdr:cNvPr id="32" name="Rectangle: Rounded Corners 31">
          <a:extLst>
            <a:ext uri="{FF2B5EF4-FFF2-40B4-BE49-F238E27FC236}">
              <a16:creationId xmlns:a16="http://schemas.microsoft.com/office/drawing/2014/main" id="{2B0A7CE9-75D6-6F7F-CB43-D0E8D3B0448A}"/>
            </a:ext>
          </a:extLst>
        </xdr:cNvPr>
        <xdr:cNvSpPr/>
      </xdr:nvSpPr>
      <xdr:spPr>
        <a:xfrm>
          <a:off x="3137648" y="392206"/>
          <a:ext cx="1580028" cy="9412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Top Ship City</a:t>
          </a:r>
        </a:p>
        <a:p>
          <a:pPr algn="r"/>
          <a:r>
            <a:rPr lang="en-US" sz="1100" b="1">
              <a:solidFill>
                <a:schemeClr val="accent5">
                  <a:lumMod val="50000"/>
                </a:schemeClr>
              </a:solidFill>
              <a:latin typeface="Garamond" panose="02020404030301010803" pitchFamily="18" charset="0"/>
            </a:rPr>
            <a:t>New</a:t>
          </a:r>
          <a:r>
            <a:rPr lang="en-US" sz="1100" b="1" baseline="0">
              <a:solidFill>
                <a:schemeClr val="accent5">
                  <a:lumMod val="50000"/>
                </a:schemeClr>
              </a:solidFill>
              <a:latin typeface="Garamond" panose="02020404030301010803" pitchFamily="18" charset="0"/>
            </a:rPr>
            <a:t> York</a:t>
          </a:r>
        </a:p>
        <a:p>
          <a:pPr algn="r"/>
          <a:r>
            <a:rPr lang="en-US" sz="1100" b="1" baseline="0">
              <a:solidFill>
                <a:schemeClr val="accent5">
                  <a:lumMod val="50000"/>
                </a:schemeClr>
              </a:solidFill>
              <a:latin typeface="Garamond" panose="02020404030301010803" pitchFamily="18" charset="0"/>
            </a:rPr>
            <a:t>By $67,180.50 Revenue</a:t>
          </a:r>
        </a:p>
        <a:p>
          <a:pPr algn="l"/>
          <a:endParaRPr lang="en-NG" sz="1100">
            <a:solidFill>
              <a:schemeClr val="accent5">
                <a:lumMod val="50000"/>
              </a:schemeClr>
            </a:solidFill>
          </a:endParaRPr>
        </a:p>
      </xdr:txBody>
    </xdr:sp>
    <xdr:clientData/>
  </xdr:twoCellAnchor>
  <xdr:twoCellAnchor>
    <xdr:from>
      <xdr:col>7</xdr:col>
      <xdr:colOff>497042</xdr:colOff>
      <xdr:row>2</xdr:row>
      <xdr:rowOff>22412</xdr:rowOff>
    </xdr:from>
    <xdr:to>
      <xdr:col>10</xdr:col>
      <xdr:colOff>212912</xdr:colOff>
      <xdr:row>7</xdr:row>
      <xdr:rowOff>1244</xdr:rowOff>
    </xdr:to>
    <xdr:sp macro="" textlink="">
      <xdr:nvSpPr>
        <xdr:cNvPr id="33" name="Rectangle: Rounded Corners 32">
          <a:extLst>
            <a:ext uri="{FF2B5EF4-FFF2-40B4-BE49-F238E27FC236}">
              <a16:creationId xmlns:a16="http://schemas.microsoft.com/office/drawing/2014/main" id="{A884819F-A174-7867-166C-C1DCE548D80B}"/>
            </a:ext>
          </a:extLst>
        </xdr:cNvPr>
        <xdr:cNvSpPr/>
      </xdr:nvSpPr>
      <xdr:spPr>
        <a:xfrm>
          <a:off x="4732866" y="403412"/>
          <a:ext cx="1531222" cy="9313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  Best Performing- State</a:t>
          </a:r>
        </a:p>
        <a:p>
          <a:pPr algn="r"/>
          <a:r>
            <a:rPr lang="en-US" sz="1100" b="1">
              <a:solidFill>
                <a:schemeClr val="accent5">
                  <a:lumMod val="50000"/>
                </a:schemeClr>
              </a:solidFill>
              <a:latin typeface="Garamond" panose="02020404030301010803" pitchFamily="18" charset="0"/>
            </a:rPr>
            <a:t>New York</a:t>
          </a:r>
        </a:p>
        <a:p>
          <a:pPr algn="r"/>
          <a:r>
            <a:rPr lang="en-US" sz="1100" b="1">
              <a:solidFill>
                <a:schemeClr val="accent5">
                  <a:lumMod val="50000"/>
                </a:schemeClr>
              </a:solidFill>
              <a:latin typeface="Garamond" panose="02020404030301010803" pitchFamily="18" charset="0"/>
            </a:rPr>
            <a:t>By </a:t>
          </a:r>
          <a:r>
            <a:rPr kumimoji="0" lang="en-US" sz="1100" b="1" i="0" u="none" strike="noStrike" kern="0" cap="none" spc="0" normalizeH="0" baseline="0" noProof="0">
              <a:ln>
                <a:noFill/>
              </a:ln>
              <a:solidFill>
                <a:srgbClr val="4472C4">
                  <a:lumMod val="50000"/>
                </a:srgbClr>
              </a:solidFill>
              <a:effectLst/>
              <a:uLnTx/>
              <a:uFillTx/>
              <a:latin typeface="Garamond" panose="02020404030301010803" pitchFamily="18" charset="0"/>
              <a:ea typeface="+mn-ea"/>
              <a:cs typeface="+mn-cs"/>
            </a:rPr>
            <a:t>$67,180.50 Revenue</a:t>
          </a:r>
        </a:p>
        <a:p>
          <a:pPr algn="l"/>
          <a:endParaRPr lang="en-US" sz="1100">
            <a:solidFill>
              <a:schemeClr val="accent5">
                <a:lumMod val="50000"/>
              </a:schemeClr>
            </a:solidFill>
          </a:endParaRPr>
        </a:p>
        <a:p>
          <a:pPr algn="l"/>
          <a:endParaRPr lang="en-NG" sz="1100">
            <a:solidFill>
              <a:schemeClr val="accent5">
                <a:lumMod val="50000"/>
              </a:schemeClr>
            </a:solidFill>
          </a:endParaRPr>
        </a:p>
      </xdr:txBody>
    </xdr:sp>
    <xdr:clientData/>
  </xdr:twoCellAnchor>
  <xdr:twoCellAnchor>
    <xdr:from>
      <xdr:col>10</xdr:col>
      <xdr:colOff>224118</xdr:colOff>
      <xdr:row>2</xdr:row>
      <xdr:rowOff>22412</xdr:rowOff>
    </xdr:from>
    <xdr:to>
      <xdr:col>12</xdr:col>
      <xdr:colOff>549088</xdr:colOff>
      <xdr:row>6</xdr:row>
      <xdr:rowOff>179293</xdr:rowOff>
    </xdr:to>
    <xdr:sp macro="" textlink="">
      <xdr:nvSpPr>
        <xdr:cNvPr id="34" name="Rectangle: Rounded Corners 33">
          <a:extLst>
            <a:ext uri="{FF2B5EF4-FFF2-40B4-BE49-F238E27FC236}">
              <a16:creationId xmlns:a16="http://schemas.microsoft.com/office/drawing/2014/main" id="{B46B9D1B-3066-E922-4BE7-0367A5E5C502}"/>
            </a:ext>
          </a:extLst>
        </xdr:cNvPr>
        <xdr:cNvSpPr/>
      </xdr:nvSpPr>
      <xdr:spPr>
        <a:xfrm>
          <a:off x="6275294" y="403412"/>
          <a:ext cx="1535206" cy="9188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Top Transaction</a:t>
          </a:r>
        </a:p>
        <a:p>
          <a:pPr algn="r"/>
          <a:r>
            <a:rPr lang="en-US" sz="1100" b="1">
              <a:solidFill>
                <a:schemeClr val="accent5">
                  <a:lumMod val="50000"/>
                </a:schemeClr>
              </a:solidFill>
              <a:latin typeface="Garamond" panose="02020404030301010803" pitchFamily="18" charset="0"/>
            </a:rPr>
            <a:t>Amount of 0-1000</a:t>
          </a:r>
        </a:p>
        <a:p>
          <a:pPr algn="r"/>
          <a:r>
            <a:rPr lang="en-US" sz="1100" b="1">
              <a:solidFill>
                <a:schemeClr val="accent5">
                  <a:lumMod val="50000"/>
                </a:schemeClr>
              </a:solidFill>
              <a:latin typeface="Garamond" panose="02020404030301010803" pitchFamily="18" charset="0"/>
            </a:rPr>
            <a:t>By 218 Counts</a:t>
          </a:r>
          <a:endParaRPr lang="en-NG" sz="1100" b="1">
            <a:solidFill>
              <a:schemeClr val="accent5">
                <a:lumMod val="50000"/>
              </a:schemeClr>
            </a:solidFill>
            <a:latin typeface="Garamond" panose="02020404030301010803" pitchFamily="18" charset="0"/>
          </a:endParaRPr>
        </a:p>
      </xdr:txBody>
    </xdr:sp>
    <xdr:clientData/>
  </xdr:twoCellAnchor>
  <xdr:twoCellAnchor>
    <xdr:from>
      <xdr:col>12</xdr:col>
      <xdr:colOff>556557</xdr:colOff>
      <xdr:row>2</xdr:row>
      <xdr:rowOff>22413</xdr:rowOff>
    </xdr:from>
    <xdr:to>
      <xdr:col>15</xdr:col>
      <xdr:colOff>336175</xdr:colOff>
      <xdr:row>6</xdr:row>
      <xdr:rowOff>168089</xdr:rowOff>
    </xdr:to>
    <xdr:sp macro="" textlink="">
      <xdr:nvSpPr>
        <xdr:cNvPr id="35" name="Rectangle: Rounded Corners 34">
          <a:extLst>
            <a:ext uri="{FF2B5EF4-FFF2-40B4-BE49-F238E27FC236}">
              <a16:creationId xmlns:a16="http://schemas.microsoft.com/office/drawing/2014/main" id="{9E9DE7C9-5136-30F7-D2B9-088598E52857}"/>
            </a:ext>
          </a:extLst>
        </xdr:cNvPr>
        <xdr:cNvSpPr/>
      </xdr:nvSpPr>
      <xdr:spPr>
        <a:xfrm>
          <a:off x="7817969" y="403413"/>
          <a:ext cx="1594971" cy="9076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   Best product- Category</a:t>
          </a:r>
        </a:p>
        <a:p>
          <a:pPr algn="r"/>
          <a:r>
            <a:rPr lang="en-US" sz="1100" b="1">
              <a:solidFill>
                <a:schemeClr val="accent5">
                  <a:lumMod val="50000"/>
                </a:schemeClr>
              </a:solidFill>
              <a:latin typeface="Garamond" panose="02020404030301010803" pitchFamily="18" charset="0"/>
            </a:rPr>
            <a:t>Beverages</a:t>
          </a:r>
          <a:r>
            <a:rPr lang="en-US" sz="1100" b="1" baseline="0">
              <a:solidFill>
                <a:schemeClr val="accent5">
                  <a:lumMod val="50000"/>
                </a:schemeClr>
              </a:solidFill>
              <a:latin typeface="Garamond" panose="02020404030301010803" pitchFamily="18" charset="0"/>
            </a:rPr>
            <a:t> </a:t>
          </a:r>
        </a:p>
        <a:p>
          <a:pPr algn="r"/>
          <a:r>
            <a:rPr lang="en-US" sz="1100" b="1" baseline="0">
              <a:solidFill>
                <a:schemeClr val="accent5">
                  <a:lumMod val="50000"/>
                </a:schemeClr>
              </a:solidFill>
              <a:latin typeface="Garamond" panose="02020404030301010803" pitchFamily="18" charset="0"/>
            </a:rPr>
            <a:t>By $110,577.11 Revenue</a:t>
          </a:r>
          <a:endParaRPr lang="en-NG" sz="1100" b="1">
            <a:solidFill>
              <a:schemeClr val="accent5">
                <a:lumMod val="50000"/>
              </a:schemeClr>
            </a:solidFill>
            <a:latin typeface="Garamond" panose="02020404030301010803" pitchFamily="18" charset="0"/>
          </a:endParaRPr>
        </a:p>
      </xdr:txBody>
    </xdr:sp>
    <xdr:clientData/>
  </xdr:twoCellAnchor>
  <xdr:twoCellAnchor>
    <xdr:from>
      <xdr:col>15</xdr:col>
      <xdr:colOff>346012</xdr:colOff>
      <xdr:row>2</xdr:row>
      <xdr:rowOff>17931</xdr:rowOff>
    </xdr:from>
    <xdr:to>
      <xdr:col>18</xdr:col>
      <xdr:colOff>145677</xdr:colOff>
      <xdr:row>6</xdr:row>
      <xdr:rowOff>168088</xdr:rowOff>
    </xdr:to>
    <xdr:sp macro="" textlink="">
      <xdr:nvSpPr>
        <xdr:cNvPr id="36" name="Rectangle: Rounded Corners 35">
          <a:extLst>
            <a:ext uri="{FF2B5EF4-FFF2-40B4-BE49-F238E27FC236}">
              <a16:creationId xmlns:a16="http://schemas.microsoft.com/office/drawing/2014/main" id="{3F2DDC87-0398-7A04-0ED5-98A65DE7C4A4}"/>
            </a:ext>
          </a:extLst>
        </xdr:cNvPr>
        <xdr:cNvSpPr/>
      </xdr:nvSpPr>
      <xdr:spPr>
        <a:xfrm>
          <a:off x="9422777" y="398931"/>
          <a:ext cx="1615018" cy="9121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Top Salesperson</a:t>
          </a:r>
        </a:p>
        <a:p>
          <a:pPr algn="r"/>
          <a:r>
            <a:rPr kumimoji="0" lang="en-US"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Nancy Freehafer</a:t>
          </a:r>
        </a:p>
        <a:p>
          <a:pPr algn="r"/>
          <a:r>
            <a:rPr kumimoji="0" lang="en-US"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Generated </a:t>
          </a:r>
          <a:r>
            <a:rPr kumimoji="0" lang="en-NG"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$104,252.34</a:t>
          </a:r>
          <a:endParaRPr kumimoji="0" lang="en-US"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endParaRPr>
        </a:p>
        <a:p>
          <a:pPr algn="r"/>
          <a:r>
            <a:rPr kumimoji="0" lang="en-US"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Revenue</a:t>
          </a:r>
          <a:r>
            <a:rPr kumimoji="0" lang="en-NG"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 </a:t>
          </a:r>
          <a:r>
            <a:rPr kumimoji="0" lang="en-US"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 </a:t>
          </a:r>
          <a:endParaRPr lang="en-NG" sz="1100" b="1">
            <a:solidFill>
              <a:schemeClr val="accent5">
                <a:lumMod val="50000"/>
              </a:schemeClr>
            </a:solidFill>
            <a:latin typeface="Garamond" panose="02020404030301010803" pitchFamily="18" charset="0"/>
          </a:endParaRPr>
        </a:p>
      </xdr:txBody>
    </xdr:sp>
    <xdr:clientData/>
  </xdr:twoCellAnchor>
  <xdr:twoCellAnchor>
    <xdr:from>
      <xdr:col>18</xdr:col>
      <xdr:colOff>168088</xdr:colOff>
      <xdr:row>2</xdr:row>
      <xdr:rowOff>33619</xdr:rowOff>
    </xdr:from>
    <xdr:to>
      <xdr:col>21</xdr:col>
      <xdr:colOff>11205</xdr:colOff>
      <xdr:row>6</xdr:row>
      <xdr:rowOff>168088</xdr:rowOff>
    </xdr:to>
    <xdr:sp macro="" textlink="">
      <xdr:nvSpPr>
        <xdr:cNvPr id="37" name="Rectangle: Rounded Corners 36">
          <a:extLst>
            <a:ext uri="{FF2B5EF4-FFF2-40B4-BE49-F238E27FC236}">
              <a16:creationId xmlns:a16="http://schemas.microsoft.com/office/drawing/2014/main" id="{3ED7D871-2DD4-14B6-3FB9-A629F3F24732}"/>
            </a:ext>
          </a:extLst>
        </xdr:cNvPr>
        <xdr:cNvSpPr/>
      </xdr:nvSpPr>
      <xdr:spPr>
        <a:xfrm>
          <a:off x="11060206" y="414619"/>
          <a:ext cx="1658470" cy="8964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000" b="1">
              <a:solidFill>
                <a:schemeClr val="accent5">
                  <a:lumMod val="50000"/>
                </a:schemeClr>
              </a:solidFill>
              <a:latin typeface="Garamond" panose="02020404030301010803" pitchFamily="18" charset="0"/>
            </a:rPr>
            <a:t>Top List</a:t>
          </a:r>
          <a:r>
            <a:rPr lang="en-US" sz="1000" b="1" baseline="0">
              <a:solidFill>
                <a:schemeClr val="accent5">
                  <a:lumMod val="50000"/>
                </a:schemeClr>
              </a:solidFill>
              <a:latin typeface="Garamond" panose="02020404030301010803" pitchFamily="18" charset="0"/>
            </a:rPr>
            <a:t> Customer</a:t>
          </a:r>
        </a:p>
        <a:p>
          <a:pPr algn="r"/>
          <a:r>
            <a:rPr lang="en-US" sz="1100" b="1" baseline="0">
              <a:solidFill>
                <a:schemeClr val="accent5">
                  <a:lumMod val="50000"/>
                </a:schemeClr>
              </a:solidFill>
              <a:latin typeface="Garamond" panose="02020404030301010803" pitchFamily="18" charset="0"/>
            </a:rPr>
            <a:t>Company D</a:t>
          </a:r>
        </a:p>
        <a:p>
          <a:pPr algn="r"/>
          <a:r>
            <a:rPr lang="en-US" sz="1100" b="1" baseline="0">
              <a:solidFill>
                <a:schemeClr val="accent5">
                  <a:lumMod val="50000"/>
                </a:schemeClr>
              </a:solidFill>
              <a:latin typeface="Garamond" panose="02020404030301010803" pitchFamily="18" charset="0"/>
            </a:rPr>
            <a:t>With a Revenue of</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NG" sz="1100" b="1" i="0" u="none" strike="noStrike" kern="0" cap="none" spc="0" normalizeH="0" baseline="0" noProof="0">
              <a:ln>
                <a:noFill/>
              </a:ln>
              <a:solidFill>
                <a:schemeClr val="accent5">
                  <a:lumMod val="50000"/>
                </a:schemeClr>
              </a:solidFill>
              <a:effectLst/>
              <a:uLnTx/>
              <a:uFillTx/>
              <a:latin typeface="Garamond" panose="02020404030301010803" pitchFamily="18" charset="0"/>
              <a:ea typeface="+mn-ea"/>
              <a:cs typeface="+mn-cs"/>
            </a:rPr>
            <a:t>$67,180.50</a:t>
          </a:r>
          <a:r>
            <a:rPr kumimoji="0" lang="en-US" sz="1100" b="1" i="0" u="none" strike="noStrike" kern="0" cap="none" spc="0" normalizeH="0" baseline="0" noProof="0">
              <a:ln>
                <a:noFill/>
              </a:ln>
              <a:solidFill>
                <a:prstClr val="black"/>
              </a:solidFill>
              <a:effectLst/>
              <a:uLnTx/>
              <a:uFillTx/>
              <a:latin typeface="Garamond" panose="02020404030301010803" pitchFamily="18" charset="0"/>
              <a:ea typeface="+mn-ea"/>
              <a:cs typeface="+mn-cs"/>
            </a:rPr>
            <a:t>.</a:t>
          </a:r>
          <a:r>
            <a:rPr kumimoji="0" lang="en-NG" sz="1100" b="1" i="0" u="none" strike="noStrike" kern="0" cap="none" spc="0" normalizeH="0" baseline="0" noProof="0">
              <a:ln>
                <a:noFill/>
              </a:ln>
              <a:solidFill>
                <a:prstClr val="white"/>
              </a:solidFill>
              <a:effectLst/>
              <a:uLnTx/>
              <a:uFillTx/>
              <a:latin typeface="Garamond" panose="02020404030301010803" pitchFamily="18" charset="0"/>
              <a:ea typeface="+mn-ea"/>
              <a:cs typeface="+mn-cs"/>
            </a:rPr>
            <a:t> </a:t>
          </a:r>
          <a:endParaRPr kumimoji="0" lang="en-US" sz="1100" b="1" i="0" u="none" strike="noStrike" kern="0" cap="none" spc="0" normalizeH="0" baseline="0" noProof="0">
            <a:ln>
              <a:noFill/>
            </a:ln>
            <a:solidFill>
              <a:prstClr val="white"/>
            </a:solidFill>
            <a:effectLst/>
            <a:uLnTx/>
            <a:uFillTx/>
            <a:latin typeface="Garamond" panose="02020404030301010803" pitchFamily="18" charset="0"/>
            <a:ea typeface="+mn-ea"/>
            <a:cs typeface="+mn-cs"/>
          </a:endParaRPr>
        </a:p>
      </xdr:txBody>
    </xdr:sp>
    <xdr:clientData/>
  </xdr:twoCellAnchor>
  <xdr:twoCellAnchor>
    <xdr:from>
      <xdr:col>5</xdr:col>
      <xdr:colOff>526677</xdr:colOff>
      <xdr:row>17</xdr:row>
      <xdr:rowOff>33618</xdr:rowOff>
    </xdr:from>
    <xdr:to>
      <xdr:col>13</xdr:col>
      <xdr:colOff>33618</xdr:colOff>
      <xdr:row>27</xdr:row>
      <xdr:rowOff>156881</xdr:rowOff>
    </xdr:to>
    <xdr:graphicFrame macro="">
      <xdr:nvGraphicFramePr>
        <xdr:cNvPr id="38" name="Chart 37">
          <a:extLst>
            <a:ext uri="{FF2B5EF4-FFF2-40B4-BE49-F238E27FC236}">
              <a16:creationId xmlns:a16="http://schemas.microsoft.com/office/drawing/2014/main" id="{4C91667C-F392-4E5D-A217-2FFDB4030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63501</xdr:colOff>
      <xdr:row>2</xdr:row>
      <xdr:rowOff>10583</xdr:rowOff>
    </xdr:from>
    <xdr:to>
      <xdr:col>0</xdr:col>
      <xdr:colOff>456330</xdr:colOff>
      <xdr:row>4</xdr:row>
      <xdr:rowOff>22412</xdr:rowOff>
    </xdr:to>
    <xdr:pic>
      <xdr:nvPicPr>
        <xdr:cNvPr id="8" name="Graphic 7" descr="Sun with solid fill">
          <a:extLst>
            <a:ext uri="{FF2B5EF4-FFF2-40B4-BE49-F238E27FC236}">
              <a16:creationId xmlns:a16="http://schemas.microsoft.com/office/drawing/2014/main" id="{124C8BE2-CE3A-158D-C2C7-4E5A3B7836E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501" y="391583"/>
          <a:ext cx="392829" cy="392829"/>
        </a:xfrm>
        <a:prstGeom prst="rect">
          <a:avLst/>
        </a:prstGeom>
      </xdr:spPr>
    </xdr:pic>
    <xdr:clientData/>
  </xdr:twoCellAnchor>
  <xdr:twoCellAnchor editAs="oneCell">
    <xdr:from>
      <xdr:col>5</xdr:col>
      <xdr:colOff>60387</xdr:colOff>
      <xdr:row>2</xdr:row>
      <xdr:rowOff>4859</xdr:rowOff>
    </xdr:from>
    <xdr:to>
      <xdr:col>5</xdr:col>
      <xdr:colOff>470646</xdr:colOff>
      <xdr:row>4</xdr:row>
      <xdr:rowOff>44954</xdr:rowOff>
    </xdr:to>
    <xdr:pic>
      <xdr:nvPicPr>
        <xdr:cNvPr id="13" name="Graphic 12" descr="Marker with solid fill">
          <a:extLst>
            <a:ext uri="{FF2B5EF4-FFF2-40B4-BE49-F238E27FC236}">
              <a16:creationId xmlns:a16="http://schemas.microsoft.com/office/drawing/2014/main" id="{9FC44875-CE66-474A-3AC4-A5FE683C618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85975" y="385859"/>
          <a:ext cx="410259" cy="421095"/>
        </a:xfrm>
        <a:prstGeom prst="rect">
          <a:avLst/>
        </a:prstGeom>
      </xdr:spPr>
    </xdr:pic>
    <xdr:clientData/>
  </xdr:twoCellAnchor>
  <xdr:twoCellAnchor editAs="oneCell">
    <xdr:from>
      <xdr:col>2</xdr:col>
      <xdr:colOff>405904</xdr:colOff>
      <xdr:row>2</xdr:row>
      <xdr:rowOff>22410</xdr:rowOff>
    </xdr:from>
    <xdr:to>
      <xdr:col>3</xdr:col>
      <xdr:colOff>191121</xdr:colOff>
      <xdr:row>4</xdr:row>
      <xdr:rowOff>44824</xdr:rowOff>
    </xdr:to>
    <xdr:pic>
      <xdr:nvPicPr>
        <xdr:cNvPr id="15" name="Graphic 14" descr="Globe with solid fill">
          <a:extLst>
            <a:ext uri="{FF2B5EF4-FFF2-40B4-BE49-F238E27FC236}">
              <a16:creationId xmlns:a16="http://schemas.microsoft.com/office/drawing/2014/main" id="{5D11BBF0-3907-D0B0-826F-B9C2994654F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16139" y="403410"/>
          <a:ext cx="390335" cy="403414"/>
        </a:xfrm>
        <a:prstGeom prst="rect">
          <a:avLst/>
        </a:prstGeom>
      </xdr:spPr>
    </xdr:pic>
    <xdr:clientData/>
  </xdr:twoCellAnchor>
  <xdr:twoCellAnchor editAs="oneCell">
    <xdr:from>
      <xdr:col>7</xdr:col>
      <xdr:colOff>494303</xdr:colOff>
      <xdr:row>2</xdr:row>
      <xdr:rowOff>27269</xdr:rowOff>
    </xdr:from>
    <xdr:to>
      <xdr:col>8</xdr:col>
      <xdr:colOff>268941</xdr:colOff>
      <xdr:row>4</xdr:row>
      <xdr:rowOff>26024</xdr:rowOff>
    </xdr:to>
    <xdr:pic>
      <xdr:nvPicPr>
        <xdr:cNvPr id="17" name="Graphic 16" descr="Earth Globe - Asia with solid fill">
          <a:extLst>
            <a:ext uri="{FF2B5EF4-FFF2-40B4-BE49-F238E27FC236}">
              <a16:creationId xmlns:a16="http://schemas.microsoft.com/office/drawing/2014/main" id="{93908B21-4181-855C-43C6-0C446D4AF86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30127" y="408269"/>
          <a:ext cx="379755" cy="379755"/>
        </a:xfrm>
        <a:prstGeom prst="rect">
          <a:avLst/>
        </a:prstGeom>
      </xdr:spPr>
    </xdr:pic>
    <xdr:clientData/>
  </xdr:twoCellAnchor>
  <xdr:twoCellAnchor editAs="oneCell">
    <xdr:from>
      <xdr:col>10</xdr:col>
      <xdr:colOff>224117</xdr:colOff>
      <xdr:row>2</xdr:row>
      <xdr:rowOff>13572</xdr:rowOff>
    </xdr:from>
    <xdr:to>
      <xdr:col>10</xdr:col>
      <xdr:colOff>524366</xdr:colOff>
      <xdr:row>3</xdr:row>
      <xdr:rowOff>134471</xdr:rowOff>
    </xdr:to>
    <xdr:pic>
      <xdr:nvPicPr>
        <xdr:cNvPr id="24" name="Graphic 23" descr="Dollar with solid fill">
          <a:extLst>
            <a:ext uri="{FF2B5EF4-FFF2-40B4-BE49-F238E27FC236}">
              <a16:creationId xmlns:a16="http://schemas.microsoft.com/office/drawing/2014/main" id="{693FA52F-64E0-BFEC-428B-4F28267BCBC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275293" y="394572"/>
          <a:ext cx="300249" cy="311399"/>
        </a:xfrm>
        <a:prstGeom prst="rect">
          <a:avLst/>
        </a:prstGeom>
      </xdr:spPr>
    </xdr:pic>
    <xdr:clientData/>
  </xdr:twoCellAnchor>
  <xdr:twoCellAnchor editAs="oneCell">
    <xdr:from>
      <xdr:col>15</xdr:col>
      <xdr:colOff>352363</xdr:colOff>
      <xdr:row>2</xdr:row>
      <xdr:rowOff>23035</xdr:rowOff>
    </xdr:from>
    <xdr:to>
      <xdr:col>16</xdr:col>
      <xdr:colOff>150035</xdr:colOff>
      <xdr:row>4</xdr:row>
      <xdr:rowOff>44824</xdr:rowOff>
    </xdr:to>
    <xdr:pic>
      <xdr:nvPicPr>
        <xdr:cNvPr id="28" name="Graphic 27" descr="Female Profile with solid fill">
          <a:extLst>
            <a:ext uri="{FF2B5EF4-FFF2-40B4-BE49-F238E27FC236}">
              <a16:creationId xmlns:a16="http://schemas.microsoft.com/office/drawing/2014/main" id="{7ED140D3-10A9-BE33-EAE6-28BB850B70D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429128" y="404035"/>
          <a:ext cx="402789" cy="402789"/>
        </a:xfrm>
        <a:prstGeom prst="rect">
          <a:avLst/>
        </a:prstGeom>
      </xdr:spPr>
    </xdr:pic>
    <xdr:clientData/>
  </xdr:twoCellAnchor>
  <xdr:twoCellAnchor editAs="oneCell">
    <xdr:from>
      <xdr:col>18</xdr:col>
      <xdr:colOff>179296</xdr:colOff>
      <xdr:row>2</xdr:row>
      <xdr:rowOff>56029</xdr:rowOff>
    </xdr:from>
    <xdr:to>
      <xdr:col>18</xdr:col>
      <xdr:colOff>593911</xdr:colOff>
      <xdr:row>4</xdr:row>
      <xdr:rowOff>89644</xdr:rowOff>
    </xdr:to>
    <xdr:pic>
      <xdr:nvPicPr>
        <xdr:cNvPr id="41" name="Graphic 40" descr="Male profile with solid fill">
          <a:extLst>
            <a:ext uri="{FF2B5EF4-FFF2-40B4-BE49-F238E27FC236}">
              <a16:creationId xmlns:a16="http://schemas.microsoft.com/office/drawing/2014/main" id="{7CFB3320-0334-2F22-25CB-AD1F98FB5A8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071414" y="437029"/>
          <a:ext cx="414615" cy="414615"/>
        </a:xfrm>
        <a:prstGeom prst="rect">
          <a:avLst/>
        </a:prstGeom>
      </xdr:spPr>
    </xdr:pic>
    <xdr:clientData/>
  </xdr:twoCellAnchor>
  <xdr:twoCellAnchor editAs="oneCell">
    <xdr:from>
      <xdr:col>21</xdr:col>
      <xdr:colOff>133349</xdr:colOff>
      <xdr:row>2</xdr:row>
      <xdr:rowOff>9527</xdr:rowOff>
    </xdr:from>
    <xdr:to>
      <xdr:col>24</xdr:col>
      <xdr:colOff>146796</xdr:colOff>
      <xdr:row>15</xdr:row>
      <xdr:rowOff>11207</xdr:rowOff>
    </xdr:to>
    <mc:AlternateContent xmlns:mc="http://schemas.openxmlformats.org/markup-compatibility/2006" xmlns:a14="http://schemas.microsoft.com/office/drawing/2010/main">
      <mc:Choice Requires="a14">
        <xdr:graphicFrame macro="">
          <xdr:nvGraphicFramePr>
            <xdr:cNvPr id="42" name="Salesperson">
              <a:extLst>
                <a:ext uri="{FF2B5EF4-FFF2-40B4-BE49-F238E27FC236}">
                  <a16:creationId xmlns:a16="http://schemas.microsoft.com/office/drawing/2014/main" id="{3DE261F7-E2A4-DA22-C4D4-FCDBC8607DD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840820" y="390527"/>
              <a:ext cx="1828800" cy="24781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110939</xdr:colOff>
      <xdr:row>15</xdr:row>
      <xdr:rowOff>65555</xdr:rowOff>
    </xdr:from>
    <xdr:to>
      <xdr:col>24</xdr:col>
      <xdr:colOff>158750</xdr:colOff>
      <xdr:row>22</xdr:row>
      <xdr:rowOff>100853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FBAD07E-42E1-497C-34BF-6C90B2499A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18410" y="2923055"/>
              <a:ext cx="1863164" cy="13687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110936</xdr:colOff>
      <xdr:row>22</xdr:row>
      <xdr:rowOff>132790</xdr:rowOff>
    </xdr:from>
    <xdr:to>
      <xdr:col>24</xdr:col>
      <xdr:colOff>147411</xdr:colOff>
      <xdr:row>31</xdr:row>
      <xdr:rowOff>89646</xdr:rowOff>
    </xdr:to>
    <mc:AlternateContent xmlns:mc="http://schemas.openxmlformats.org/markup-compatibility/2006" xmlns:a14="http://schemas.microsoft.com/office/drawing/2010/main">
      <mc:Choice Requires="a14">
        <xdr:graphicFrame macro="">
          <xdr:nvGraphicFramePr>
            <xdr:cNvPr id="12" name="Product Name">
              <a:extLst>
                <a:ext uri="{FF2B5EF4-FFF2-40B4-BE49-F238E27FC236}">
                  <a16:creationId xmlns:a16="http://schemas.microsoft.com/office/drawing/2014/main" id="{59BC8A19-C85A-DDE0-F12F-BBB378A0A2C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2818407" y="4323790"/>
              <a:ext cx="1851828" cy="16713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560295</xdr:colOff>
      <xdr:row>2</xdr:row>
      <xdr:rowOff>78441</xdr:rowOff>
    </xdr:from>
    <xdr:to>
      <xdr:col>13</xdr:col>
      <xdr:colOff>369796</xdr:colOff>
      <xdr:row>4</xdr:row>
      <xdr:rowOff>112059</xdr:rowOff>
    </xdr:to>
    <xdr:pic>
      <xdr:nvPicPr>
        <xdr:cNvPr id="16" name="Graphic 15" descr="Coins with solid fill">
          <a:extLst>
            <a:ext uri="{FF2B5EF4-FFF2-40B4-BE49-F238E27FC236}">
              <a16:creationId xmlns:a16="http://schemas.microsoft.com/office/drawing/2014/main" id="{C8A5EA13-CD26-B2A3-6402-CD354B297B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7821707" y="459441"/>
          <a:ext cx="414618" cy="414618"/>
        </a:xfrm>
        <a:prstGeom prst="rect">
          <a:avLst/>
        </a:prstGeom>
      </xdr:spPr>
    </xdr:pic>
    <xdr:clientData/>
  </xdr:twoCellAnchor>
  <xdr:twoCellAnchor editAs="oneCell">
    <xdr:from>
      <xdr:col>21</xdr:col>
      <xdr:colOff>110937</xdr:colOff>
      <xdr:row>31</xdr:row>
      <xdr:rowOff>143997</xdr:rowOff>
    </xdr:from>
    <xdr:to>
      <xdr:col>24</xdr:col>
      <xdr:colOff>124384</xdr:colOff>
      <xdr:row>38</xdr:row>
      <xdr:rowOff>100853</xdr:rowOff>
    </xdr:to>
    <mc:AlternateContent xmlns:mc="http://schemas.openxmlformats.org/markup-compatibility/2006" xmlns:a14="http://schemas.microsoft.com/office/drawing/2010/main">
      <mc:Choice Requires="a14">
        <xdr:graphicFrame macro="">
          <xdr:nvGraphicFramePr>
            <xdr:cNvPr id="18" name="Customer Name">
              <a:extLst>
                <a:ext uri="{FF2B5EF4-FFF2-40B4-BE49-F238E27FC236}">
                  <a16:creationId xmlns:a16="http://schemas.microsoft.com/office/drawing/2014/main" id="{F08859EF-EC92-FDA8-9243-8CAF8289D3E4}"/>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2818408" y="6049497"/>
              <a:ext cx="1828800" cy="12903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291353</xdr:colOff>
      <xdr:row>7</xdr:row>
      <xdr:rowOff>22410</xdr:rowOff>
    </xdr:from>
    <xdr:to>
      <xdr:col>21</xdr:col>
      <xdr:colOff>22410</xdr:colOff>
      <xdr:row>16</xdr:row>
      <xdr:rowOff>179293</xdr:rowOff>
    </xdr:to>
    <xdr:sp macro="" textlink="">
      <xdr:nvSpPr>
        <xdr:cNvPr id="21" name="Rectangle: Rounded Corners 20">
          <a:extLst>
            <a:ext uri="{FF2B5EF4-FFF2-40B4-BE49-F238E27FC236}">
              <a16:creationId xmlns:a16="http://schemas.microsoft.com/office/drawing/2014/main" id="{77E699B2-416D-9D48-BE49-8601846B3A2D}"/>
            </a:ext>
          </a:extLst>
        </xdr:cNvPr>
        <xdr:cNvSpPr/>
      </xdr:nvSpPr>
      <xdr:spPr>
        <a:xfrm>
          <a:off x="7552765" y="1355910"/>
          <a:ext cx="5177116" cy="1871383"/>
        </a:xfrm>
        <a:prstGeom prst="roundRect">
          <a:avLst>
            <a:gd name="adj" fmla="val 604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313764</xdr:colOff>
      <xdr:row>7</xdr:row>
      <xdr:rowOff>22679</xdr:rowOff>
    </xdr:from>
    <xdr:to>
      <xdr:col>21</xdr:col>
      <xdr:colOff>22679</xdr:colOff>
      <xdr:row>16</xdr:row>
      <xdr:rowOff>179915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9ADDC72A-0E4A-4B05-B67C-051D3EDC4C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7628964" y="1356179"/>
              <a:ext cx="5195315" cy="1871736"/>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66675</xdr:colOff>
      <xdr:row>0</xdr:row>
      <xdr:rowOff>123824</xdr:rowOff>
    </xdr:from>
    <xdr:to>
      <xdr:col>11</xdr:col>
      <xdr:colOff>571500</xdr:colOff>
      <xdr:row>18</xdr:row>
      <xdr:rowOff>145675</xdr:rowOff>
    </xdr:to>
    <xdr:sp macro="" textlink="">
      <xdr:nvSpPr>
        <xdr:cNvPr id="2" name="Rectangle: Rounded Corners 1">
          <a:extLst>
            <a:ext uri="{FF2B5EF4-FFF2-40B4-BE49-F238E27FC236}">
              <a16:creationId xmlns:a16="http://schemas.microsoft.com/office/drawing/2014/main" id="{465B7895-F60C-216A-6A1F-ED61AA2978A6}"/>
            </a:ext>
          </a:extLst>
        </xdr:cNvPr>
        <xdr:cNvSpPr/>
      </xdr:nvSpPr>
      <xdr:spPr>
        <a:xfrm>
          <a:off x="66675" y="123824"/>
          <a:ext cx="7161119" cy="3450851"/>
        </a:xfrm>
        <a:prstGeom prst="roundRect">
          <a:avLst/>
        </a:prstGeom>
        <a:solidFill>
          <a:schemeClr val="accent5">
            <a:lumMod val="5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Analysis- Observations:</a:t>
          </a:r>
        </a:p>
        <a:p>
          <a:pPr algn="l"/>
          <a:endParaRPr lang="en-US" sz="1100"/>
        </a:p>
        <a:p>
          <a:pPr algn="l"/>
          <a:r>
            <a:rPr lang="en-US" sz="1100"/>
            <a:t>1.</a:t>
          </a:r>
          <a:r>
            <a:rPr lang="en-US" sz="1100" baseline="0"/>
            <a:t> Nancy Freehafer topped other salespersons. she's from the Northern Region, and her top customers are Company H, Company A and Company G. </a:t>
          </a:r>
          <a:endParaRPr lang="en-NG" sz="1100"/>
        </a:p>
      </xdr:txBody>
    </xdr:sp>
    <xdr:clientData/>
  </xdr:twoCellAnchor>
  <xdr:twoCellAnchor>
    <xdr:from>
      <xdr:col>12</xdr:col>
      <xdr:colOff>192741</xdr:colOff>
      <xdr:row>0</xdr:row>
      <xdr:rowOff>128307</xdr:rowOff>
    </xdr:from>
    <xdr:to>
      <xdr:col>24</xdr:col>
      <xdr:colOff>179294</xdr:colOff>
      <xdr:row>18</xdr:row>
      <xdr:rowOff>123264</xdr:rowOff>
    </xdr:to>
    <xdr:sp macro="" textlink="">
      <xdr:nvSpPr>
        <xdr:cNvPr id="3" name="Rectangle: Rounded Corners 2">
          <a:extLst>
            <a:ext uri="{FF2B5EF4-FFF2-40B4-BE49-F238E27FC236}">
              <a16:creationId xmlns:a16="http://schemas.microsoft.com/office/drawing/2014/main" id="{6F44ECCE-0457-6C3B-EAC2-B148C5B08EA9}"/>
            </a:ext>
          </a:extLst>
        </xdr:cNvPr>
        <xdr:cNvSpPr/>
      </xdr:nvSpPr>
      <xdr:spPr>
        <a:xfrm>
          <a:off x="7454153" y="128307"/>
          <a:ext cx="7247965" cy="3423957"/>
        </a:xfrm>
        <a:prstGeom prst="roundRect">
          <a:avLst/>
        </a:prstGeom>
        <a:solidFill>
          <a:schemeClr val="bg2"/>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107017</xdr:colOff>
      <xdr:row>19</xdr:row>
      <xdr:rowOff>74519</xdr:rowOff>
    </xdr:from>
    <xdr:to>
      <xdr:col>12</xdr:col>
      <xdr:colOff>6724</xdr:colOff>
      <xdr:row>37</xdr:row>
      <xdr:rowOff>96370</xdr:rowOff>
    </xdr:to>
    <xdr:sp macro="" textlink="">
      <xdr:nvSpPr>
        <xdr:cNvPr id="4" name="Rectangle: Rounded Corners 3">
          <a:extLst>
            <a:ext uri="{FF2B5EF4-FFF2-40B4-BE49-F238E27FC236}">
              <a16:creationId xmlns:a16="http://schemas.microsoft.com/office/drawing/2014/main" id="{5098BB5B-C452-3F19-8B57-818AC4BB33D6}"/>
            </a:ext>
          </a:extLst>
        </xdr:cNvPr>
        <xdr:cNvSpPr/>
      </xdr:nvSpPr>
      <xdr:spPr>
        <a:xfrm>
          <a:off x="107017" y="3694019"/>
          <a:ext cx="7161119" cy="3450851"/>
        </a:xfrm>
        <a:prstGeom prst="roundRect">
          <a:avLst/>
        </a:prstGeom>
        <a:solidFill>
          <a:schemeClr val="accent5">
            <a:lumMod val="5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165847</xdr:colOff>
      <xdr:row>19</xdr:row>
      <xdr:rowOff>79001</xdr:rowOff>
    </xdr:from>
    <xdr:to>
      <xdr:col>24</xdr:col>
      <xdr:colOff>152400</xdr:colOff>
      <xdr:row>37</xdr:row>
      <xdr:rowOff>168088</xdr:rowOff>
    </xdr:to>
    <xdr:sp macro="" textlink="">
      <xdr:nvSpPr>
        <xdr:cNvPr id="5" name="Rectangle: Rounded Corners 4">
          <a:extLst>
            <a:ext uri="{FF2B5EF4-FFF2-40B4-BE49-F238E27FC236}">
              <a16:creationId xmlns:a16="http://schemas.microsoft.com/office/drawing/2014/main" id="{0F9A869E-46B8-434B-0880-6CD5CA5E0797}"/>
            </a:ext>
          </a:extLst>
        </xdr:cNvPr>
        <xdr:cNvSpPr/>
      </xdr:nvSpPr>
      <xdr:spPr>
        <a:xfrm>
          <a:off x="7427259" y="3698501"/>
          <a:ext cx="7247965" cy="3518087"/>
        </a:xfrm>
        <a:prstGeom prst="roundRect">
          <a:avLst/>
        </a:prstGeom>
        <a:solidFill>
          <a:schemeClr val="bg2"/>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66675</xdr:colOff>
      <xdr:row>0</xdr:row>
      <xdr:rowOff>123824</xdr:rowOff>
    </xdr:from>
    <xdr:to>
      <xdr:col>11</xdr:col>
      <xdr:colOff>571500</xdr:colOff>
      <xdr:row>18</xdr:row>
      <xdr:rowOff>145675</xdr:rowOff>
    </xdr:to>
    <xdr:sp macro="" textlink="">
      <xdr:nvSpPr>
        <xdr:cNvPr id="2" name="Rectangle: Rounded Corners 1">
          <a:extLst>
            <a:ext uri="{FF2B5EF4-FFF2-40B4-BE49-F238E27FC236}">
              <a16:creationId xmlns:a16="http://schemas.microsoft.com/office/drawing/2014/main" id="{ABF1AE41-ABFB-4A60-9979-B9EDCB66867C}"/>
            </a:ext>
          </a:extLst>
        </xdr:cNvPr>
        <xdr:cNvSpPr/>
      </xdr:nvSpPr>
      <xdr:spPr>
        <a:xfrm>
          <a:off x="66675" y="123824"/>
          <a:ext cx="7210425" cy="3450851"/>
        </a:xfrm>
        <a:prstGeom prst="roundRect">
          <a:avLst/>
        </a:prstGeom>
        <a:solidFill>
          <a:schemeClr val="accent5">
            <a:lumMod val="5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192741</xdr:colOff>
      <xdr:row>0</xdr:row>
      <xdr:rowOff>128307</xdr:rowOff>
    </xdr:from>
    <xdr:to>
      <xdr:col>24</xdr:col>
      <xdr:colOff>179294</xdr:colOff>
      <xdr:row>18</xdr:row>
      <xdr:rowOff>123264</xdr:rowOff>
    </xdr:to>
    <xdr:sp macro="" textlink="">
      <xdr:nvSpPr>
        <xdr:cNvPr id="3" name="Rectangle: Rounded Corners 2">
          <a:extLst>
            <a:ext uri="{FF2B5EF4-FFF2-40B4-BE49-F238E27FC236}">
              <a16:creationId xmlns:a16="http://schemas.microsoft.com/office/drawing/2014/main" id="{07AD1BA0-3599-4897-95B2-BCF360EF2E84}"/>
            </a:ext>
          </a:extLst>
        </xdr:cNvPr>
        <xdr:cNvSpPr/>
      </xdr:nvSpPr>
      <xdr:spPr>
        <a:xfrm>
          <a:off x="7507941" y="128307"/>
          <a:ext cx="7301753" cy="3423957"/>
        </a:xfrm>
        <a:prstGeom prst="roundRect">
          <a:avLst/>
        </a:prstGeom>
        <a:solidFill>
          <a:schemeClr val="bg2"/>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107017</xdr:colOff>
      <xdr:row>19</xdr:row>
      <xdr:rowOff>74519</xdr:rowOff>
    </xdr:from>
    <xdr:to>
      <xdr:col>12</xdr:col>
      <xdr:colOff>6724</xdr:colOff>
      <xdr:row>37</xdr:row>
      <xdr:rowOff>96370</xdr:rowOff>
    </xdr:to>
    <xdr:sp macro="" textlink="">
      <xdr:nvSpPr>
        <xdr:cNvPr id="4" name="Rectangle: Rounded Corners 3">
          <a:extLst>
            <a:ext uri="{FF2B5EF4-FFF2-40B4-BE49-F238E27FC236}">
              <a16:creationId xmlns:a16="http://schemas.microsoft.com/office/drawing/2014/main" id="{F54774AE-E255-40ED-BF2A-61E381C1D7CE}"/>
            </a:ext>
          </a:extLst>
        </xdr:cNvPr>
        <xdr:cNvSpPr/>
      </xdr:nvSpPr>
      <xdr:spPr>
        <a:xfrm>
          <a:off x="107017" y="3694019"/>
          <a:ext cx="7214907" cy="3450851"/>
        </a:xfrm>
        <a:prstGeom prst="roundRect">
          <a:avLst/>
        </a:prstGeom>
        <a:solidFill>
          <a:schemeClr val="accent5">
            <a:lumMod val="50000"/>
          </a:schemeClr>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165847</xdr:colOff>
      <xdr:row>19</xdr:row>
      <xdr:rowOff>79001</xdr:rowOff>
    </xdr:from>
    <xdr:to>
      <xdr:col>24</xdr:col>
      <xdr:colOff>152400</xdr:colOff>
      <xdr:row>37</xdr:row>
      <xdr:rowOff>168088</xdr:rowOff>
    </xdr:to>
    <xdr:sp macro="" textlink="">
      <xdr:nvSpPr>
        <xdr:cNvPr id="5" name="Rectangle: Rounded Corners 4">
          <a:extLst>
            <a:ext uri="{FF2B5EF4-FFF2-40B4-BE49-F238E27FC236}">
              <a16:creationId xmlns:a16="http://schemas.microsoft.com/office/drawing/2014/main" id="{5C56141A-1E1F-4458-8360-6FAE7EB88018}"/>
            </a:ext>
          </a:extLst>
        </xdr:cNvPr>
        <xdr:cNvSpPr/>
      </xdr:nvSpPr>
      <xdr:spPr>
        <a:xfrm>
          <a:off x="7481047" y="3698501"/>
          <a:ext cx="7301753" cy="3518087"/>
        </a:xfrm>
        <a:prstGeom prst="roundRect">
          <a:avLst/>
        </a:prstGeom>
        <a:solidFill>
          <a:schemeClr val="bg2"/>
        </a:solidFill>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0.624503240739" createdVersion="8" refreshedVersion="8" minRefreshableVersion="3" recordCount="369" xr:uid="{ABB0B025-AC3F-4C95-AB2A-419DCA7AD0DF}">
  <cacheSource type="worksheet">
    <worksheetSource ref="A1:Z370" sheet="Data (3)"/>
  </cacheSource>
  <cacheFields count="27">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10" maxValue="7938" count="314">
        <n v="686"/>
        <n v="164.5"/>
        <n v="2070"/>
        <n v="4717"/>
        <n v="38.5"/>
        <n v="1458"/>
        <n v="2024"/>
        <n v="349.6"/>
        <n v="809.6"/>
        <n v="1198.5"/>
        <n v="878.15"/>
        <n v="1280"/>
        <n v="2530"/>
        <n v="599.25"/>
        <n v="269.10000000000002"/>
        <n v="1104"/>
        <n v="850"/>
        <n v="374"/>
        <n v="404.8"/>
        <n v="283.5"/>
        <n v="146.51"/>
        <n v="756"/>
        <n v="2668"/>
        <n v="200.33"/>
        <n v="965"/>
        <n v="1159.2"/>
        <n v="1111.5"/>
        <n v="2818.8"/>
        <n v="994"/>
        <n v="630"/>
        <n v="1200"/>
        <n v="10"/>
        <n v="470"/>
        <n v="171.5"/>
        <n v="2880"/>
        <n v="239.2"/>
        <n v="1472"/>
        <n v="260.55"/>
        <n v="905.25"/>
        <n v="165.75"/>
        <n v="2156"/>
        <n v="525"/>
        <n v="1014"/>
        <n v="848"/>
        <n v="3648"/>
        <n v="224.25"/>
        <n v="1072.5"/>
        <n v="382.8"/>
        <n v="742"/>
        <n v="3400"/>
        <n v="892.4"/>
        <n v="460"/>
        <n v="2070.9499999999998"/>
        <n v="936.05"/>
        <n v="1196"/>
        <n v="1008"/>
        <n v="204"/>
        <n v="6237"/>
        <n v="259"/>
        <n v="2192.4"/>
        <n v="480"/>
        <n v="2840"/>
        <n v="550"/>
        <n v="73.5"/>
        <n v="2680"/>
        <n v="1380"/>
        <n v="782"/>
        <n v="168"/>
        <n v="1332"/>
        <n v="4416"/>
        <n v="110.4"/>
        <n v="570.4"/>
        <n v="446.25"/>
        <n v="916.75"/>
        <n v="680"/>
        <n v="1058.25"/>
        <n v="263.12"/>
        <n v="2714"/>
        <n v="675"/>
        <n v="814"/>
        <n v="690"/>
        <n v="248.5"/>
        <n v="990"/>
        <n v="178.5"/>
        <n v="414.95"/>
        <n v="2520"/>
        <n v="1656"/>
        <n v="522.75"/>
        <n v="104.65"/>
        <n v="1426"/>
        <n v="1300"/>
        <n v="660"/>
        <n v="377.2"/>
        <n v="154"/>
        <n v="230.23"/>
        <n v="522"/>
        <n v="3542"/>
        <n v="218.27"/>
        <n v="714.1"/>
        <n v="1599"/>
        <n v="1287.5999999999999"/>
        <n v="1176"/>
        <n v="2920"/>
        <n v="469.2"/>
        <n v="768.6"/>
        <n v="839.55"/>
        <n v="1177.5999999999999"/>
        <n v="294"/>
        <n v="242.25"/>
        <n v="1863"/>
        <n v="504"/>
        <n v="765.6"/>
        <n v="820"/>
        <n v="3920"/>
        <n v="3266"/>
        <n v="1000"/>
        <n v="1760"/>
        <n v="98"/>
        <n v="179.4"/>
        <n v="594"/>
        <n v="1012"/>
        <n v="152.49"/>
        <n v="579"/>
        <n v="1803.2"/>
        <n v="526.5"/>
        <n v="3062.4"/>
        <n v="910"/>
        <n v="1520"/>
        <n v="736"/>
        <n v="490"/>
        <n v="1921.5"/>
        <n v="717.6"/>
        <n v="1106"/>
        <n v="561"/>
        <n v="7938"/>
        <n v="427"/>
        <n v="1044"/>
        <n v="240"/>
        <n v="1120"/>
        <n v="740"/>
        <n v="315"/>
        <n v="1080"/>
        <n v="1306.4000000000001"/>
        <n v="3404"/>
        <n v="733.4"/>
        <n v="1224"/>
        <n v="1173"/>
        <n v="2046"/>
        <n v="450"/>
        <n v="3822"/>
        <n v="3230"/>
        <n v="242.19"/>
        <n v="318.45"/>
        <n v="864.8"/>
        <n v="1189.5"/>
        <n v="939.6"/>
        <n v="3640"/>
        <n v="331.2"/>
        <n v="340"/>
        <n v="1729.35"/>
        <n v="241.25"/>
        <n v="220.8"/>
        <n v="322"/>
        <n v="969"/>
        <n v="4455"/>
        <n v="133"/>
        <n v="400"/>
        <n v="800"/>
        <n v="94.5"/>
        <n v="3880"/>
        <n v="772.8"/>
        <n v="868.5"/>
        <n v="357"/>
        <n v="1288"/>
        <n v="726.75"/>
        <n v="68.77"/>
        <n v="3956"/>
        <n v="1175"/>
        <n v="2134"/>
        <n v="883.2"/>
        <n v="108.5"/>
        <n v="155.47999999999999"/>
        <n v="1638"/>
        <n v="644"/>
        <n v="131.56"/>
        <n v="1287"/>
        <n v="1113.5999999999999"/>
        <n v="728"/>
        <n v="3120"/>
        <n v="496.8"/>
        <n v="1281"/>
        <n v="183.35"/>
        <n v="1214.4000000000001"/>
        <n v="588"/>
        <n v="918"/>
        <n v="2592"/>
        <n v="532"/>
        <n v="763.6"/>
        <n v="318.5"/>
        <n v="191.36"/>
        <n v="4462"/>
        <n v="41.86"/>
        <n v="656.2"/>
        <n v="588.79999999999995"/>
        <n v="936"/>
        <n v="1983.6"/>
        <n v="938"/>
        <n v="1920"/>
        <n v="708.4"/>
        <n v="940"/>
        <n v="1152.9000000000001"/>
        <n v="700"/>
        <n v="4374"/>
        <n v="273"/>
        <n v="710"/>
        <n v="3520"/>
        <n v="590"/>
        <n v="3760"/>
        <n v="777.75"/>
        <n v="95.68"/>
        <n v="2852"/>
        <n v="1500"/>
        <n v="1122"/>
        <n v="450.8"/>
        <n v="70"/>
        <n v="396"/>
        <n v="3358"/>
        <n v="254.15"/>
        <n v="424.6"/>
        <n v="441.6"/>
        <n v="1248"/>
        <n v="2436"/>
        <n v="1372"/>
        <n v="920"/>
        <n v="900"/>
        <n v="1046.1500000000001"/>
        <n v="685.15"/>
        <n v="184"/>
        <n v="1092"/>
        <n v="6642"/>
        <n v="203"/>
        <n v="3236.4"/>
        <n v="110"/>
        <n v="120"/>
        <n v="2400"/>
        <n v="423.2"/>
        <n v="1564"/>
        <n v="858.85"/>
        <n v="1045.5"/>
        <n v="548.25"/>
        <n v="2112"/>
        <n v="312.8"/>
        <n v="147"/>
        <n v="299"/>
        <n v="65.78"/>
        <n v="443.9"/>
        <n v="1840"/>
        <n v="1696.5"/>
        <n v="2018.4"/>
        <n v="1190"/>
        <n v="174.8"/>
        <n v="1473.15"/>
        <n v="357.05"/>
        <n v="191.25"/>
        <n v="4212"/>
        <n v="835.2"/>
        <n v="360"/>
        <n v="960"/>
        <n v="200"/>
        <n v="1398.4"/>
        <n v="2622"/>
        <n v="135.1"/>
        <n v="196"/>
        <n v="245"/>
        <n v="3000"/>
        <n v="1431"/>
        <n v="1026"/>
        <n v="3818"/>
        <n v="699.2"/>
        <n v="926.4"/>
        <n v="122.59"/>
        <n v="1886"/>
        <n v="2350"/>
        <n v="440"/>
        <n v="119.6"/>
        <n v="158.47"/>
        <n v="1782"/>
        <n v="4094"/>
        <n v="945.7"/>
        <n v="1582.4"/>
        <n v="390"/>
        <n v="2401.1999999999998"/>
        <n v="952"/>
        <n v="2080"/>
        <n v="368"/>
        <n v="1878.8"/>
        <n v="1711.2"/>
        <n v="1344"/>
        <n v="153"/>
        <n v="3078"/>
        <n v="3480"/>
        <n v="890"/>
        <n v="970"/>
        <n v="185.5"/>
        <n v="2440"/>
        <n v="828"/>
        <n v="1978"/>
        <n v="173.7"/>
        <n v="1430"/>
        <n v="325"/>
        <n v="2106"/>
        <n v="1802"/>
        <n v="2242"/>
        <n v="71.760000000000005"/>
      </sharedItems>
      <fieldGroup base="24">
        <rangePr autoStart="0" autoEnd="0" startNum="0" endNum="8000"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01/01/2014"/>
          <s v="Jan"/>
          <s v="Feb"/>
          <s v="Mar"/>
          <s v="Apr"/>
          <s v="May"/>
          <s v="Jun"/>
          <s v="Jul"/>
          <s v="Aug"/>
          <s v="Sep"/>
          <s v="Oct"/>
          <s v="Nov"/>
          <s v="Dec"/>
          <s v="&gt;30/12/2014"/>
        </groupItems>
      </fieldGroup>
    </cacheField>
  </cacheFields>
  <extLst>
    <ext xmlns:x14="http://schemas.microsoft.com/office/spreadsheetml/2009/9/main" uri="{725AE2AE-9491-48be-B2B4-4EB974FC3084}">
      <x14:pivotCacheDefinition pivotCacheId="1073078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s v="Las Vegas"/>
    <s v="NV"/>
    <n v="99999"/>
    <s v="USA"/>
    <s v="Check"/>
    <x v="0"/>
    <x v="0"/>
    <n v="14"/>
    <n v="49"/>
    <x v="0"/>
    <n v="66.542000000000002"/>
  </r>
  <r>
    <n v="1002"/>
    <x v="0"/>
    <n v="27"/>
    <x v="0"/>
    <s v="789 27th Street"/>
    <x v="0"/>
    <x v="0"/>
    <n v="99999"/>
    <s v="USA"/>
    <x v="0"/>
    <x v="0"/>
    <d v="2014-01-29T00:00:00"/>
    <s v="Shipping Company B"/>
    <s v="Karen Toh"/>
    <s v="789 27th Street"/>
    <s v="Las Vegas"/>
    <s v="NV"/>
    <n v="99999"/>
    <s v="USA"/>
    <s v="Check"/>
    <x v="1"/>
    <x v="1"/>
    <n v="3.5"/>
    <n v="47"/>
    <x v="1"/>
    <n v="16.6145"/>
  </r>
  <r>
    <n v="1003"/>
    <x v="1"/>
    <n v="4"/>
    <x v="1"/>
    <s v="123 4th Street"/>
    <x v="1"/>
    <x v="1"/>
    <n v="99999"/>
    <s v="USA"/>
    <x v="1"/>
    <x v="1"/>
    <d v="2014-01-06T00:00:00"/>
    <s v="Shipping Company A"/>
    <s v="Christina Lee"/>
    <s v="123 4th Street"/>
    <s v="New York"/>
    <s v="NY"/>
    <n v="99999"/>
    <s v="USA"/>
    <s v="Credit Card"/>
    <x v="2"/>
    <x v="1"/>
    <n v="30"/>
    <n v="69"/>
    <x v="2"/>
    <n v="198.72"/>
  </r>
  <r>
    <n v="1004"/>
    <x v="1"/>
    <n v="4"/>
    <x v="1"/>
    <s v="123 4th Street"/>
    <x v="1"/>
    <x v="1"/>
    <n v="99999"/>
    <s v="USA"/>
    <x v="1"/>
    <x v="1"/>
    <d v="2014-01-06T00:00:00"/>
    <s v="Shipping Company A"/>
    <s v="Christina Lee"/>
    <s v="123 4th Street"/>
    <s v="New York"/>
    <s v="NY"/>
    <n v="99999"/>
    <s v="USA"/>
    <s v="Credit Card"/>
    <x v="3"/>
    <x v="1"/>
    <n v="53"/>
    <n v="89"/>
    <x v="3"/>
    <n v="448.11500000000001"/>
  </r>
  <r>
    <n v="1005"/>
    <x v="1"/>
    <n v="4"/>
    <x v="1"/>
    <s v="123 4th Street"/>
    <x v="1"/>
    <x v="1"/>
    <n v="99999"/>
    <s v="USA"/>
    <x v="1"/>
    <x v="1"/>
    <d v="2014-01-06T00:00:00"/>
    <s v="Shipping Company A"/>
    <s v="Christina Lee"/>
    <s v="123 4th Street"/>
    <s v="New York"/>
    <s v="NY"/>
    <n v="99999"/>
    <s v="USA"/>
    <s v="Credit Card"/>
    <x v="1"/>
    <x v="1"/>
    <n v="3.5"/>
    <n v="11"/>
    <x v="4"/>
    <n v="3.7345000000000002"/>
  </r>
  <r>
    <n v="1006"/>
    <x v="2"/>
    <n v="12"/>
    <x v="2"/>
    <s v="123 12th Street"/>
    <x v="0"/>
    <x v="0"/>
    <n v="99999"/>
    <s v="USA"/>
    <x v="0"/>
    <x v="0"/>
    <d v="2014-01-14T00:00:00"/>
    <s v="Shipping Company B"/>
    <s v="John Edwards"/>
    <s v="123 12th Street"/>
    <s v="Las Vegas"/>
    <s v="NV"/>
    <n v="99999"/>
    <s v="USA"/>
    <s v="Credit Card"/>
    <x v="4"/>
    <x v="0"/>
    <n v="18"/>
    <n v="81"/>
    <x v="5"/>
    <n v="141.42599999999999"/>
  </r>
  <r>
    <n v="1007"/>
    <x v="2"/>
    <n v="12"/>
    <x v="2"/>
    <s v="123 12th Street"/>
    <x v="0"/>
    <x v="0"/>
    <n v="99999"/>
    <s v="USA"/>
    <x v="0"/>
    <x v="0"/>
    <d v="2014-01-14T00:00:00"/>
    <s v="Shipping Company B"/>
    <s v="John Edwards"/>
    <s v="123 12th Street"/>
    <s v="Las Vegas"/>
    <s v="NV"/>
    <n v="99999"/>
    <s v="USA"/>
    <s v="Credit Card"/>
    <x v="5"/>
    <x v="0"/>
    <n v="46"/>
    <n v="44"/>
    <x v="6"/>
    <n v="198.352"/>
  </r>
  <r>
    <n v="1008"/>
    <x v="3"/>
    <n v="8"/>
    <x v="3"/>
    <s v="123 8th Street"/>
    <x v="2"/>
    <x v="2"/>
    <n v="99999"/>
    <s v="USA"/>
    <x v="2"/>
    <x v="2"/>
    <d v="2014-01-10T00:00:00"/>
    <s v="Shipping Company C"/>
    <s v="Elizabeth Andersen"/>
    <s v="123 8th Street"/>
    <s v="Portland"/>
    <s v="OR"/>
    <n v="99999"/>
    <s v="USA"/>
    <s v="Credit Card"/>
    <x v="6"/>
    <x v="2"/>
    <n v="9.1999999999999993"/>
    <n v="38"/>
    <x v="7"/>
    <n v="36.008800000000001"/>
  </r>
  <r>
    <n v="1009"/>
    <x v="1"/>
    <n v="4"/>
    <x v="1"/>
    <s v="123 4th Street"/>
    <x v="1"/>
    <x v="1"/>
    <n v="99999"/>
    <s v="USA"/>
    <x v="1"/>
    <x v="1"/>
    <d v="2014-01-06T00:00:00"/>
    <s v="Shipping Company C"/>
    <s v="Christina Lee"/>
    <s v="123 4th Street"/>
    <s v="New York"/>
    <s v="NY"/>
    <n v="99999"/>
    <s v="USA"/>
    <s v="Check"/>
    <x v="6"/>
    <x v="2"/>
    <n v="9.1999999999999993"/>
    <n v="88"/>
    <x v="8"/>
    <n v="79.340800000000002"/>
  </r>
  <r>
    <n v="1010"/>
    <x v="4"/>
    <n v="29"/>
    <x v="4"/>
    <s v="789 29th Street"/>
    <x v="3"/>
    <x v="3"/>
    <n v="99999"/>
    <s v="USA"/>
    <x v="3"/>
    <x v="0"/>
    <d v="2014-01-31T00:00:00"/>
    <s v="Shipping Company B"/>
    <s v="Soo Jung Lee"/>
    <s v="789 29th Street"/>
    <s v="Denver"/>
    <s v="CO"/>
    <n v="99999"/>
    <s v="USA"/>
    <s v="Check"/>
    <x v="7"/>
    <x v="3"/>
    <n v="12.75"/>
    <n v="94"/>
    <x v="9"/>
    <n v="122.247"/>
  </r>
  <r>
    <n v="1011"/>
    <x v="5"/>
    <n v="3"/>
    <x v="5"/>
    <s v="123 3rd Street"/>
    <x v="4"/>
    <x v="4"/>
    <n v="99999"/>
    <s v="USA"/>
    <x v="0"/>
    <x v="0"/>
    <d v="2014-01-05T00:00:00"/>
    <s v="Shipping Company B"/>
    <s v="Thomas Axerr"/>
    <s v="123 3rd Street"/>
    <s v="Los Angelas"/>
    <s v="CA"/>
    <n v="99999"/>
    <s v="USA"/>
    <s v="Cash"/>
    <x v="8"/>
    <x v="4"/>
    <n v="9.65"/>
    <n v="91"/>
    <x v="10"/>
    <n v="92.205749999999995"/>
  </r>
  <r>
    <n v="1012"/>
    <x v="6"/>
    <n v="6"/>
    <x v="6"/>
    <s v="123 6th Street"/>
    <x v="5"/>
    <x v="5"/>
    <n v="99999"/>
    <s v="USA"/>
    <x v="4"/>
    <x v="2"/>
    <d v="2014-01-08T00:00:00"/>
    <s v="Shipping Company B"/>
    <s v="Francisco Pérez-Olaeta"/>
    <s v="123 6th Street"/>
    <s v="Milwaukee"/>
    <s v="WI"/>
    <n v="99999"/>
    <s v="USA"/>
    <s v="Credit Card"/>
    <x v="9"/>
    <x v="5"/>
    <n v="40"/>
    <n v="32"/>
    <x v="11"/>
    <n v="133.12"/>
  </r>
  <r>
    <n v="1013"/>
    <x v="7"/>
    <n v="28"/>
    <x v="7"/>
    <s v="789 28th Street"/>
    <x v="6"/>
    <x v="6"/>
    <n v="99999"/>
    <s v="USA"/>
    <x v="5"/>
    <x v="3"/>
    <d v="2014-01-30T00:00:00"/>
    <s v="Shipping Company C"/>
    <s v="Amritansh Raghav"/>
    <s v="789 28th Street"/>
    <s v="Memphis"/>
    <s v="TN"/>
    <n v="99999"/>
    <s v="USA"/>
    <s v="Check"/>
    <x v="5"/>
    <x v="0"/>
    <n v="46"/>
    <n v="55"/>
    <x v="12"/>
    <n v="253"/>
  </r>
  <r>
    <n v="1014"/>
    <x v="3"/>
    <n v="8"/>
    <x v="3"/>
    <s v="123 8th Street"/>
    <x v="2"/>
    <x v="2"/>
    <n v="99999"/>
    <s v="USA"/>
    <x v="2"/>
    <x v="2"/>
    <d v="2014-01-10T00:00:00"/>
    <s v="Shipping Company C"/>
    <s v="Elizabeth Andersen"/>
    <s v="123 8th Street"/>
    <s v="Portland"/>
    <s v="OR"/>
    <n v="99999"/>
    <s v="USA"/>
    <s v="Check"/>
    <x v="7"/>
    <x v="3"/>
    <n v="12.75"/>
    <n v="47"/>
    <x v="13"/>
    <n v="61.722749999999998"/>
  </r>
  <r>
    <n v="1015"/>
    <x v="8"/>
    <n v="10"/>
    <x v="8"/>
    <s v="123 10th Street"/>
    <x v="7"/>
    <x v="7"/>
    <n v="99999"/>
    <s v="USA"/>
    <x v="6"/>
    <x v="1"/>
    <d v="2014-01-12T00:00:00"/>
    <s v="Shipping Company B"/>
    <s v="Roland Wacker"/>
    <s v="123 10th Street"/>
    <s v="Chicago"/>
    <s v="IL"/>
    <n v="99999"/>
    <s v="USA"/>
    <s v="Credit Card"/>
    <x v="10"/>
    <x v="0"/>
    <n v="2.99"/>
    <n v="90"/>
    <x v="14"/>
    <n v="27.717300000000002"/>
  </r>
  <r>
    <n v="1016"/>
    <x v="9"/>
    <n v="7"/>
    <x v="9"/>
    <s v="123 7th Street"/>
    <x v="8"/>
    <x v="8"/>
    <n v="99999"/>
    <s v="USA"/>
    <x v="2"/>
    <x v="2"/>
    <m/>
    <m/>
    <s v="Ming-Yang Xie"/>
    <s v="123 7th Street"/>
    <s v="Boise"/>
    <s v="ID"/>
    <n v="99999"/>
    <s v="USA"/>
    <m/>
    <x v="5"/>
    <x v="0"/>
    <n v="46"/>
    <n v="24"/>
    <x v="15"/>
    <n v="110.4"/>
  </r>
  <r>
    <n v="1017"/>
    <x v="8"/>
    <n v="10"/>
    <x v="8"/>
    <s v="123 10th Street"/>
    <x v="7"/>
    <x v="7"/>
    <n v="99999"/>
    <s v="USA"/>
    <x v="6"/>
    <x v="1"/>
    <d v="2014-01-12T00:00:00"/>
    <s v="Shipping Company A"/>
    <s v="Roland Wacker"/>
    <s v="123 10th Street"/>
    <s v="Chicago"/>
    <s v="IL"/>
    <n v="99999"/>
    <s v="USA"/>
    <m/>
    <x v="11"/>
    <x v="6"/>
    <n v="25"/>
    <n v="34"/>
    <x v="16"/>
    <n v="80.75"/>
  </r>
  <r>
    <n v="1018"/>
    <x v="8"/>
    <n v="10"/>
    <x v="8"/>
    <s v="123 10th Street"/>
    <x v="7"/>
    <x v="7"/>
    <n v="99999"/>
    <s v="USA"/>
    <x v="6"/>
    <x v="1"/>
    <d v="2014-01-12T00:00:00"/>
    <s v="Shipping Company A"/>
    <s v="Roland Wacker"/>
    <s v="123 10th Street"/>
    <s v="Chicago"/>
    <s v="IL"/>
    <n v="99999"/>
    <s v="USA"/>
    <m/>
    <x v="12"/>
    <x v="7"/>
    <n v="22"/>
    <n v="17"/>
    <x v="17"/>
    <n v="35.904000000000003"/>
  </r>
  <r>
    <n v="1019"/>
    <x v="8"/>
    <n v="10"/>
    <x v="8"/>
    <s v="123 10th Street"/>
    <x v="7"/>
    <x v="7"/>
    <n v="99999"/>
    <s v="USA"/>
    <x v="6"/>
    <x v="1"/>
    <d v="2014-01-12T00:00:00"/>
    <s v="Shipping Company A"/>
    <s v="Roland Wacker"/>
    <s v="123 10th Street"/>
    <s v="Chicago"/>
    <s v="IL"/>
    <n v="99999"/>
    <s v="USA"/>
    <m/>
    <x v="6"/>
    <x v="2"/>
    <n v="9.1999999999999993"/>
    <n v="44"/>
    <x v="18"/>
    <n v="42.099200000000003"/>
  </r>
  <r>
    <n v="1020"/>
    <x v="10"/>
    <n v="11"/>
    <x v="10"/>
    <s v="123 11th Street"/>
    <x v="9"/>
    <x v="9"/>
    <n v="99999"/>
    <s v="USA"/>
    <x v="5"/>
    <x v="3"/>
    <m/>
    <s v="Shipping Company C"/>
    <s v="Peter Krschne"/>
    <s v="123 11th Street"/>
    <s v="Miami"/>
    <s v="FL"/>
    <n v="99999"/>
    <s v="USA"/>
    <m/>
    <x v="1"/>
    <x v="1"/>
    <n v="3.5"/>
    <n v="81"/>
    <x v="19"/>
    <n v="27.499500000000001"/>
  </r>
  <r>
    <n v="1021"/>
    <x v="10"/>
    <n v="11"/>
    <x v="10"/>
    <s v="123 11th Street"/>
    <x v="9"/>
    <x v="9"/>
    <n v="99999"/>
    <s v="USA"/>
    <x v="5"/>
    <x v="3"/>
    <m/>
    <s v="Shipping Company C"/>
    <s v="Peter Krschne"/>
    <s v="123 11th Street"/>
    <s v="Miami"/>
    <s v="FL"/>
    <n v="99999"/>
    <s v="USA"/>
    <m/>
    <x v="10"/>
    <x v="0"/>
    <n v="2.99"/>
    <n v="49"/>
    <x v="20"/>
    <n v="15.090529999999999"/>
  </r>
  <r>
    <n v="1022"/>
    <x v="11"/>
    <n v="1"/>
    <x v="11"/>
    <s v="123 1st Street"/>
    <x v="10"/>
    <x v="10"/>
    <n v="99999"/>
    <s v="USA"/>
    <x v="2"/>
    <x v="2"/>
    <m/>
    <m/>
    <s v="Anna Bedecs"/>
    <s v="123 1st Street"/>
    <s v="Seattle"/>
    <s v="WA"/>
    <n v="99999"/>
    <s v="USA"/>
    <m/>
    <x v="4"/>
    <x v="0"/>
    <n v="18"/>
    <n v="42"/>
    <x v="21"/>
    <n v="75.599999999999994"/>
  </r>
  <r>
    <n v="1023"/>
    <x v="11"/>
    <n v="1"/>
    <x v="11"/>
    <s v="123 1st Street"/>
    <x v="10"/>
    <x v="10"/>
    <n v="99999"/>
    <s v="USA"/>
    <x v="2"/>
    <x v="2"/>
    <m/>
    <m/>
    <s v="Anna Bedecs"/>
    <s v="123 1st Street"/>
    <s v="Seattle"/>
    <s v="WA"/>
    <n v="99999"/>
    <s v="USA"/>
    <m/>
    <x v="5"/>
    <x v="0"/>
    <n v="46"/>
    <n v="58"/>
    <x v="22"/>
    <n v="269.46800000000002"/>
  </r>
  <r>
    <n v="1024"/>
    <x v="11"/>
    <n v="1"/>
    <x v="11"/>
    <s v="123 1st Street"/>
    <x v="10"/>
    <x v="10"/>
    <n v="99999"/>
    <s v="USA"/>
    <x v="2"/>
    <x v="2"/>
    <m/>
    <m/>
    <s v="Anna Bedecs"/>
    <s v="123 1st Street"/>
    <s v="Seattle"/>
    <s v="WA"/>
    <n v="99999"/>
    <s v="USA"/>
    <m/>
    <x v="10"/>
    <x v="0"/>
    <n v="2.99"/>
    <n v="67"/>
    <x v="23"/>
    <n v="20.033000000000001"/>
  </r>
  <r>
    <n v="1025"/>
    <x v="7"/>
    <n v="28"/>
    <x v="7"/>
    <s v="789 28th Street"/>
    <x v="6"/>
    <x v="6"/>
    <n v="99999"/>
    <s v="USA"/>
    <x v="5"/>
    <x v="3"/>
    <d v="2014-01-30T00:00:00"/>
    <s v="Shipping Company C"/>
    <s v="Amritansh Raghav"/>
    <s v="789 28th Street"/>
    <s v="Memphis"/>
    <s v="TN"/>
    <n v="99999"/>
    <s v="USA"/>
    <s v="Credit Card"/>
    <x v="8"/>
    <x v="4"/>
    <n v="9.65"/>
    <n v="100"/>
    <x v="24"/>
    <n v="93.605000000000004"/>
  </r>
  <r>
    <n v="1026"/>
    <x v="7"/>
    <n v="28"/>
    <x v="7"/>
    <s v="789 28th Street"/>
    <x v="6"/>
    <x v="6"/>
    <n v="99999"/>
    <s v="USA"/>
    <x v="5"/>
    <x v="3"/>
    <d v="2014-01-30T00:00:00"/>
    <s v="Shipping Company C"/>
    <s v="Amritansh Raghav"/>
    <s v="789 28th Street"/>
    <s v="Memphis"/>
    <s v="TN"/>
    <n v="99999"/>
    <s v="USA"/>
    <s v="Credit Card"/>
    <x v="13"/>
    <x v="8"/>
    <n v="18.399999999999999"/>
    <n v="63"/>
    <x v="25"/>
    <n v="114.7608"/>
  </r>
  <r>
    <n v="1027"/>
    <x v="12"/>
    <n v="9"/>
    <x v="12"/>
    <s v="123 9th Street"/>
    <x v="11"/>
    <x v="11"/>
    <n v="99999"/>
    <s v="USA"/>
    <x v="7"/>
    <x v="0"/>
    <d v="2014-01-11T00:00:00"/>
    <s v="Shipping Company A"/>
    <s v="Sven Mortensen"/>
    <s v="123 9th Street"/>
    <s v="Salt Lake City"/>
    <s v="UT"/>
    <n v="99999"/>
    <s v="USA"/>
    <s v="Check"/>
    <x v="14"/>
    <x v="9"/>
    <n v="19.5"/>
    <n v="57"/>
    <x v="26"/>
    <n v="110.0385"/>
  </r>
  <r>
    <n v="1028"/>
    <x v="12"/>
    <n v="9"/>
    <x v="12"/>
    <s v="123 9th Street"/>
    <x v="11"/>
    <x v="11"/>
    <n v="99999"/>
    <s v="USA"/>
    <x v="7"/>
    <x v="0"/>
    <d v="2014-01-11T00:00:00"/>
    <s v="Shipping Company A"/>
    <s v="Sven Mortensen"/>
    <s v="123 9th Street"/>
    <s v="Salt Lake City"/>
    <s v="UT"/>
    <n v="99999"/>
    <s v="USA"/>
    <s v="Check"/>
    <x v="15"/>
    <x v="10"/>
    <n v="34.799999999999997"/>
    <n v="81"/>
    <x v="27"/>
    <n v="295.97399999999999"/>
  </r>
  <r>
    <n v="1029"/>
    <x v="6"/>
    <n v="6"/>
    <x v="6"/>
    <s v="123 6th Street"/>
    <x v="5"/>
    <x v="5"/>
    <n v="99999"/>
    <s v="USA"/>
    <x v="4"/>
    <x v="2"/>
    <d v="2014-01-08T00:00:00"/>
    <s v="Shipping Company B"/>
    <s v="Francisco Pérez-Olaeta"/>
    <s v="123 6th Street"/>
    <s v="Milwaukee"/>
    <s v="WI"/>
    <n v="99999"/>
    <s v="USA"/>
    <s v="Credit Card"/>
    <x v="0"/>
    <x v="0"/>
    <n v="14"/>
    <n v="71"/>
    <x v="28"/>
    <n v="95.424000000000007"/>
  </r>
  <r>
    <n v="1030"/>
    <x v="13"/>
    <n v="8"/>
    <x v="3"/>
    <s v="123 8th Street"/>
    <x v="2"/>
    <x v="2"/>
    <n v="99999"/>
    <s v="USA"/>
    <x v="2"/>
    <x v="2"/>
    <d v="2014-02-10T00:00:00"/>
    <s v="Shipping Company B"/>
    <s v="Elizabeth Andersen"/>
    <s v="123 8th Street"/>
    <s v="Portland"/>
    <s v="OR"/>
    <n v="99999"/>
    <s v="USA"/>
    <s v="Check"/>
    <x v="9"/>
    <x v="5"/>
    <n v="40"/>
    <n v="32"/>
    <x v="11"/>
    <n v="129.28"/>
  </r>
  <r>
    <n v="1031"/>
    <x v="14"/>
    <n v="3"/>
    <x v="5"/>
    <s v="123 3rd Street"/>
    <x v="4"/>
    <x v="4"/>
    <n v="99999"/>
    <s v="USA"/>
    <x v="0"/>
    <x v="0"/>
    <d v="2014-02-05T00:00:00"/>
    <s v="Shipping Company B"/>
    <s v="Thomas Axerr"/>
    <s v="123 3rd Street"/>
    <s v="Los Angelas"/>
    <s v="CA"/>
    <n v="99999"/>
    <s v="USA"/>
    <s v="Cash"/>
    <x v="16"/>
    <x v="7"/>
    <n v="10"/>
    <n v="63"/>
    <x v="29"/>
    <n v="65.52"/>
  </r>
  <r>
    <n v="1032"/>
    <x v="14"/>
    <n v="3"/>
    <x v="5"/>
    <s v="123 3rd Street"/>
    <x v="4"/>
    <x v="4"/>
    <n v="99999"/>
    <s v="USA"/>
    <x v="0"/>
    <x v="0"/>
    <d v="2014-02-05T00:00:00"/>
    <s v="Shipping Company B"/>
    <s v="Thomas Axerr"/>
    <s v="123 3rd Street"/>
    <s v="Los Angelas"/>
    <s v="CA"/>
    <n v="99999"/>
    <s v="USA"/>
    <s v="Cash"/>
    <x v="9"/>
    <x v="5"/>
    <n v="40"/>
    <n v="30"/>
    <x v="30"/>
    <n v="120"/>
  </r>
  <r>
    <n v="1033"/>
    <x v="15"/>
    <n v="6"/>
    <x v="6"/>
    <s v="123 6th Street"/>
    <x v="5"/>
    <x v="5"/>
    <n v="99999"/>
    <s v="USA"/>
    <x v="4"/>
    <x v="2"/>
    <d v="2014-02-08T00:00:00"/>
    <s v="Shipping Company B"/>
    <s v="Francisco Pérez-Olaeta"/>
    <s v="123 6th Street"/>
    <s v="Milwaukee"/>
    <s v="WI"/>
    <n v="99999"/>
    <s v="USA"/>
    <s v="Credit Card"/>
    <x v="17"/>
    <x v="11"/>
    <m/>
    <m/>
    <x v="31"/>
    <n v="43"/>
  </r>
  <r>
    <n v="1034"/>
    <x v="16"/>
    <n v="28"/>
    <x v="7"/>
    <s v="789 28th Street"/>
    <x v="6"/>
    <x v="6"/>
    <n v="99999"/>
    <s v="USA"/>
    <x v="5"/>
    <x v="3"/>
    <d v="2014-03-02T00:00:00"/>
    <s v="Shipping Company C"/>
    <s v="Amritansh Raghav"/>
    <s v="789 28th Street"/>
    <s v="Memphis"/>
    <s v="TN"/>
    <n v="99999"/>
    <s v="USA"/>
    <s v="Check"/>
    <x v="17"/>
    <x v="11"/>
    <m/>
    <m/>
    <x v="31"/>
    <n v="31"/>
  </r>
  <r>
    <n v="1035"/>
    <x v="13"/>
    <n v="8"/>
    <x v="3"/>
    <s v="123 8th Street"/>
    <x v="2"/>
    <x v="2"/>
    <n v="99999"/>
    <s v="USA"/>
    <x v="2"/>
    <x v="2"/>
    <d v="2014-02-10T00:00:00"/>
    <s v="Shipping Company C"/>
    <s v="Elizabeth Andersen"/>
    <s v="123 8th Street"/>
    <s v="Portland"/>
    <s v="OR"/>
    <n v="99999"/>
    <s v="USA"/>
    <s v="Check"/>
    <x v="17"/>
    <x v="11"/>
    <m/>
    <m/>
    <x v="31"/>
    <n v="46"/>
  </r>
  <r>
    <n v="1036"/>
    <x v="17"/>
    <n v="10"/>
    <x v="8"/>
    <s v="123 10th Street"/>
    <x v="7"/>
    <x v="7"/>
    <n v="99999"/>
    <s v="USA"/>
    <x v="6"/>
    <x v="1"/>
    <d v="2014-02-12T00:00:00"/>
    <s v="Shipping Company B"/>
    <s v="Roland Wacker"/>
    <s v="123 10th Street"/>
    <s v="Chicago"/>
    <s v="IL"/>
    <n v="99999"/>
    <s v="USA"/>
    <s v="Credit Card"/>
    <x v="18"/>
    <x v="1"/>
    <n v="10"/>
    <n v="47"/>
    <x v="32"/>
    <n v="48.88"/>
  </r>
  <r>
    <n v="1038"/>
    <x v="17"/>
    <n v="10"/>
    <x v="8"/>
    <s v="123 10th Street"/>
    <x v="7"/>
    <x v="7"/>
    <n v="99999"/>
    <s v="USA"/>
    <x v="6"/>
    <x v="1"/>
    <m/>
    <s v="Shipping Company A"/>
    <s v="Roland Wacker"/>
    <s v="123 10th Street"/>
    <s v="Chicago"/>
    <s v="IL"/>
    <n v="99999"/>
    <s v="USA"/>
    <m/>
    <x v="1"/>
    <x v="1"/>
    <n v="3.5"/>
    <n v="49"/>
    <x v="33"/>
    <n v="16.463999999999999"/>
  </r>
  <r>
    <n v="1039"/>
    <x v="18"/>
    <n v="11"/>
    <x v="10"/>
    <s v="123 11th Street"/>
    <x v="9"/>
    <x v="9"/>
    <n v="99999"/>
    <s v="USA"/>
    <x v="5"/>
    <x v="3"/>
    <m/>
    <s v="Shipping Company C"/>
    <s v="Peter Krschne"/>
    <s v="123 11th Street"/>
    <s v="Miami"/>
    <s v="FL"/>
    <n v="99999"/>
    <s v="USA"/>
    <m/>
    <x v="9"/>
    <x v="5"/>
    <n v="40"/>
    <n v="72"/>
    <x v="34"/>
    <n v="285.12"/>
  </r>
  <r>
    <n v="1040"/>
    <x v="19"/>
    <n v="1"/>
    <x v="11"/>
    <s v="123 1st Street"/>
    <x v="10"/>
    <x v="10"/>
    <n v="99999"/>
    <s v="USA"/>
    <x v="2"/>
    <x v="2"/>
    <m/>
    <s v="Shipping Company C"/>
    <s v="Anna Bedecs"/>
    <s v="123 1st Street"/>
    <s v="Seattle"/>
    <s v="WA"/>
    <n v="99999"/>
    <s v="USA"/>
    <m/>
    <x v="13"/>
    <x v="8"/>
    <n v="18.399999999999999"/>
    <n v="13"/>
    <x v="35"/>
    <n v="23.680800000000001"/>
  </r>
  <r>
    <n v="1041"/>
    <x v="16"/>
    <n v="28"/>
    <x v="7"/>
    <s v="789 28th Street"/>
    <x v="6"/>
    <x v="6"/>
    <n v="99999"/>
    <s v="USA"/>
    <x v="5"/>
    <x v="3"/>
    <n v="41700"/>
    <s v="Shipping Company C"/>
    <s v="Amritansh Raghav"/>
    <s v="789 28th Street"/>
    <s v="Memphis"/>
    <s v="TN"/>
    <n v="99999"/>
    <s v="USA"/>
    <s v="Credit Card"/>
    <x v="5"/>
    <x v="0"/>
    <n v="46"/>
    <n v="32"/>
    <x v="36"/>
    <n v="148.672"/>
  </r>
  <r>
    <n v="1042"/>
    <x v="20"/>
    <n v="9"/>
    <x v="12"/>
    <s v="123 9th Street"/>
    <x v="11"/>
    <x v="11"/>
    <n v="99999"/>
    <s v="USA"/>
    <x v="7"/>
    <x v="0"/>
    <d v="2014-02-11T00:00:00"/>
    <s v="Shipping Company A"/>
    <s v="Sven Mortensen"/>
    <s v="123 9th Street"/>
    <s v="Salt Lake City"/>
    <s v="UT"/>
    <n v="99999"/>
    <s v="USA"/>
    <s v="Check"/>
    <x v="8"/>
    <x v="4"/>
    <n v="9.65"/>
    <n v="27"/>
    <x v="37"/>
    <n v="24.75225"/>
  </r>
  <r>
    <n v="1043"/>
    <x v="15"/>
    <n v="6"/>
    <x v="6"/>
    <s v="123 6th Street"/>
    <x v="5"/>
    <x v="5"/>
    <n v="99999"/>
    <s v="USA"/>
    <x v="4"/>
    <x v="2"/>
    <d v="2014-02-08T00:00:00"/>
    <s v="Shipping Company B"/>
    <s v="Francisco Pérez-Olaeta"/>
    <s v="123 6th Street"/>
    <s v="Milwaukee"/>
    <s v="WI"/>
    <n v="99999"/>
    <s v="USA"/>
    <s v="Credit Card"/>
    <x v="7"/>
    <x v="3"/>
    <n v="12.75"/>
    <n v="71"/>
    <x v="38"/>
    <n v="91.430250000000001"/>
  </r>
  <r>
    <n v="1044"/>
    <x v="13"/>
    <n v="8"/>
    <x v="3"/>
    <s v="123 8th Street"/>
    <x v="2"/>
    <x v="2"/>
    <n v="99999"/>
    <s v="USA"/>
    <x v="2"/>
    <x v="2"/>
    <d v="2014-02-10T00:00:00"/>
    <s v="Shipping Company B"/>
    <s v="Elizabeth Andersen"/>
    <s v="123 8th Street"/>
    <s v="Portland"/>
    <s v="OR"/>
    <n v="99999"/>
    <s v="USA"/>
    <s v="Check"/>
    <x v="7"/>
    <x v="3"/>
    <n v="12.75"/>
    <n v="13"/>
    <x v="39"/>
    <n v="15.74625"/>
  </r>
  <r>
    <n v="1045"/>
    <x v="21"/>
    <n v="25"/>
    <x v="13"/>
    <s v="789 25th Street"/>
    <x v="7"/>
    <x v="7"/>
    <n v="99999"/>
    <s v="USA"/>
    <x v="6"/>
    <x v="1"/>
    <d v="2014-02-27T00:00:00"/>
    <s v="Shipping Company A"/>
    <s v="John Rodman"/>
    <s v="789 25th Street"/>
    <s v="Chicago"/>
    <s v="IL"/>
    <n v="99999"/>
    <s v="USA"/>
    <s v="Cash"/>
    <x v="12"/>
    <x v="7"/>
    <n v="22"/>
    <n v="98"/>
    <x v="40"/>
    <n v="204.82"/>
  </r>
  <r>
    <n v="1046"/>
    <x v="22"/>
    <n v="26"/>
    <x v="14"/>
    <s v="789 26th Street"/>
    <x v="9"/>
    <x v="9"/>
    <n v="99999"/>
    <s v="USA"/>
    <x v="5"/>
    <x v="3"/>
    <d v="2014-02-28T00:00:00"/>
    <s v="Shipping Company C"/>
    <s v="Run Liu"/>
    <s v="789 26th Street"/>
    <s v="Miami"/>
    <s v="FL"/>
    <n v="99999"/>
    <s v="USA"/>
    <s v="Credit Card"/>
    <x v="11"/>
    <x v="6"/>
    <n v="25"/>
    <n v="21"/>
    <x v="41"/>
    <n v="53.55"/>
  </r>
  <r>
    <n v="1047"/>
    <x v="23"/>
    <n v="29"/>
    <x v="4"/>
    <s v="789 29th Street"/>
    <x v="3"/>
    <x v="3"/>
    <n v="99999"/>
    <s v="USA"/>
    <x v="3"/>
    <x v="0"/>
    <d v="2014-03-03T00:00:00"/>
    <s v="Shipping Company B"/>
    <s v="Soo Jung Lee"/>
    <s v="789 29th Street"/>
    <s v="Denver"/>
    <s v="CO"/>
    <n v="99999"/>
    <s v="USA"/>
    <s v="Check"/>
    <x v="19"/>
    <x v="12"/>
    <n v="39"/>
    <n v="26"/>
    <x v="42"/>
    <n v="106.47"/>
  </r>
  <r>
    <n v="1048"/>
    <x v="15"/>
    <n v="6"/>
    <x v="6"/>
    <s v="123 6th Street"/>
    <x v="5"/>
    <x v="5"/>
    <n v="99999"/>
    <s v="USA"/>
    <x v="4"/>
    <x v="2"/>
    <d v="2014-02-08T00:00:00"/>
    <s v="Shipping Company C"/>
    <s v="Francisco Pérez-Olaeta"/>
    <s v="123 6th Street"/>
    <s v="Milwaukee"/>
    <s v="WI"/>
    <n v="99999"/>
    <s v="USA"/>
    <s v="Check"/>
    <x v="2"/>
    <x v="1"/>
    <n v="30"/>
    <n v="96"/>
    <x v="34"/>
    <n v="296.64"/>
  </r>
  <r>
    <n v="1049"/>
    <x v="15"/>
    <n v="6"/>
    <x v="6"/>
    <s v="123 6th Street"/>
    <x v="5"/>
    <x v="5"/>
    <n v="99999"/>
    <s v="USA"/>
    <x v="4"/>
    <x v="2"/>
    <d v="2014-02-08T00:00:00"/>
    <s v="Shipping Company C"/>
    <s v="Francisco Pérez-Olaeta"/>
    <s v="123 6th Street"/>
    <s v="Milwaukee"/>
    <s v="WI"/>
    <n v="99999"/>
    <s v="USA"/>
    <s v="Check"/>
    <x v="3"/>
    <x v="1"/>
    <n v="53"/>
    <n v="16"/>
    <x v="43"/>
    <n v="88.191999999999993"/>
  </r>
  <r>
    <n v="1050"/>
    <x v="24"/>
    <n v="4"/>
    <x v="1"/>
    <s v="123 4th Street"/>
    <x v="1"/>
    <x v="1"/>
    <n v="99999"/>
    <s v="USA"/>
    <x v="1"/>
    <x v="1"/>
    <m/>
    <m/>
    <s v="Christina Lee"/>
    <s v="123 4th Street"/>
    <s v="New York"/>
    <s v="NY"/>
    <n v="99999"/>
    <s v="USA"/>
    <m/>
    <x v="20"/>
    <x v="9"/>
    <n v="38"/>
    <n v="96"/>
    <x v="44"/>
    <n v="346.56"/>
  </r>
  <r>
    <n v="1051"/>
    <x v="14"/>
    <n v="3"/>
    <x v="5"/>
    <s v="123 3rd Street"/>
    <x v="4"/>
    <x v="4"/>
    <n v="99999"/>
    <s v="USA"/>
    <x v="0"/>
    <x v="0"/>
    <m/>
    <m/>
    <s v="Thomas Axerr"/>
    <s v="123 3rd Street"/>
    <s v="Los Angelas"/>
    <s v="CA"/>
    <n v="99999"/>
    <s v="USA"/>
    <m/>
    <x v="10"/>
    <x v="0"/>
    <n v="2.99"/>
    <n v="75"/>
    <x v="45"/>
    <n v="23.097750000000001"/>
  </r>
  <r>
    <n v="1052"/>
    <x v="25"/>
    <n v="9"/>
    <x v="12"/>
    <s v="123 9th Street"/>
    <x v="11"/>
    <x v="11"/>
    <n v="99999"/>
    <s v="USA"/>
    <x v="7"/>
    <x v="0"/>
    <n v="41709"/>
    <s v="Shipping Company A"/>
    <s v="Sven Mortensen"/>
    <s v="123 9th Street"/>
    <s v="Salt Lake City"/>
    <s v="UT"/>
    <n v="99999"/>
    <s v="USA"/>
    <s v="Check"/>
    <x v="14"/>
    <x v="9"/>
    <n v="19.5"/>
    <n v="55"/>
    <x v="46"/>
    <n v="108.32250000000001"/>
  </r>
  <r>
    <n v="1053"/>
    <x v="25"/>
    <n v="9"/>
    <x v="12"/>
    <s v="123 9th Street"/>
    <x v="11"/>
    <x v="11"/>
    <n v="99999"/>
    <s v="USA"/>
    <x v="7"/>
    <x v="0"/>
    <d v="2014-03-11T00:00:00"/>
    <s v="Shipping Company A"/>
    <s v="Sven Mortensen"/>
    <s v="123 9th Street"/>
    <s v="Salt Lake City"/>
    <s v="UT"/>
    <n v="99999"/>
    <s v="USA"/>
    <s v="Check"/>
    <x v="15"/>
    <x v="10"/>
    <n v="34.799999999999997"/>
    <n v="11"/>
    <x v="47"/>
    <n v="36.748800000000003"/>
  </r>
  <r>
    <n v="1054"/>
    <x v="26"/>
    <n v="6"/>
    <x v="6"/>
    <s v="123 6th Street"/>
    <x v="5"/>
    <x v="5"/>
    <n v="99999"/>
    <s v="USA"/>
    <x v="4"/>
    <x v="2"/>
    <d v="2014-03-08T00:00:00"/>
    <s v="Shipping Company B"/>
    <s v="Francisco Pérez-Olaeta"/>
    <s v="123 6th Street"/>
    <s v="Milwaukee"/>
    <s v="WI"/>
    <n v="99999"/>
    <s v="USA"/>
    <s v="Credit Card"/>
    <x v="0"/>
    <x v="0"/>
    <n v="14"/>
    <n v="53"/>
    <x v="48"/>
    <n v="71.974000000000004"/>
  </r>
  <r>
    <n v="1055"/>
    <x v="27"/>
    <n v="8"/>
    <x v="3"/>
    <s v="123 8th Street"/>
    <x v="2"/>
    <x v="2"/>
    <n v="99999"/>
    <s v="USA"/>
    <x v="2"/>
    <x v="2"/>
    <d v="2014-03-10T00:00:00"/>
    <s v="Shipping Company B"/>
    <s v="Elizabeth Andersen"/>
    <s v="123 8th Street"/>
    <s v="Portland"/>
    <s v="OR"/>
    <n v="99999"/>
    <s v="USA"/>
    <s v="Check"/>
    <x v="9"/>
    <x v="5"/>
    <n v="40"/>
    <n v="85"/>
    <x v="49"/>
    <n v="357"/>
  </r>
  <r>
    <n v="1056"/>
    <x v="27"/>
    <n v="8"/>
    <x v="3"/>
    <s v="123 8th Street"/>
    <x v="2"/>
    <x v="2"/>
    <n v="99999"/>
    <s v="USA"/>
    <x v="2"/>
    <x v="2"/>
    <d v="2014-03-10T00:00:00"/>
    <s v="Shipping Company B"/>
    <s v="Elizabeth Andersen"/>
    <s v="123 8th Street"/>
    <s v="Portland"/>
    <s v="OR"/>
    <n v="99999"/>
    <s v="USA"/>
    <s v="Check"/>
    <x v="6"/>
    <x v="2"/>
    <n v="9.1999999999999993"/>
    <n v="97"/>
    <x v="50"/>
    <n v="91.024799999999999"/>
  </r>
  <r>
    <n v="1057"/>
    <x v="28"/>
    <n v="25"/>
    <x v="13"/>
    <s v="789 25th Street"/>
    <x v="7"/>
    <x v="7"/>
    <n v="99999"/>
    <s v="USA"/>
    <x v="6"/>
    <x v="1"/>
    <d v="2014-03-27T00:00:00"/>
    <s v="Shipping Company A"/>
    <s v="John Rodman"/>
    <s v="789 25th Street"/>
    <s v="Chicago"/>
    <s v="IL"/>
    <n v="99999"/>
    <s v="USA"/>
    <s v="Cash"/>
    <x v="21"/>
    <x v="2"/>
    <n v="10"/>
    <n v="46"/>
    <x v="51"/>
    <n v="46.46"/>
  </r>
  <r>
    <n v="1058"/>
    <x v="29"/>
    <n v="26"/>
    <x v="14"/>
    <s v="789 26th Street"/>
    <x v="9"/>
    <x v="9"/>
    <n v="99999"/>
    <s v="USA"/>
    <x v="5"/>
    <x v="3"/>
    <d v="2014-03-28T00:00:00"/>
    <s v="Shipping Company C"/>
    <s v="Run Liu"/>
    <s v="789 26th Street"/>
    <s v="Miami"/>
    <s v="FL"/>
    <n v="99999"/>
    <s v="USA"/>
    <s v="Credit Card"/>
    <x v="22"/>
    <x v="13"/>
    <n v="21.35"/>
    <n v="97"/>
    <x v="52"/>
    <n v="196.74025"/>
  </r>
  <r>
    <n v="1059"/>
    <x v="29"/>
    <n v="26"/>
    <x v="14"/>
    <s v="789 26th Street"/>
    <x v="9"/>
    <x v="9"/>
    <n v="99999"/>
    <s v="USA"/>
    <x v="5"/>
    <x v="3"/>
    <d v="2014-03-28T00:00:00"/>
    <s v="Shipping Company C"/>
    <s v="Run Liu"/>
    <s v="789 26th Street"/>
    <s v="Miami"/>
    <s v="FL"/>
    <n v="99999"/>
    <s v="USA"/>
    <s v="Credit Card"/>
    <x v="8"/>
    <x v="4"/>
    <n v="9.65"/>
    <n v="97"/>
    <x v="53"/>
    <n v="95.477099999999993"/>
  </r>
  <r>
    <n v="1060"/>
    <x v="29"/>
    <n v="26"/>
    <x v="14"/>
    <s v="789 26th Street"/>
    <x v="9"/>
    <x v="9"/>
    <n v="99999"/>
    <s v="USA"/>
    <x v="5"/>
    <x v="3"/>
    <d v="2014-03-28T00:00:00"/>
    <s v="Shipping Company C"/>
    <s v="Run Liu"/>
    <s v="789 26th Street"/>
    <s v="Miami"/>
    <s v="FL"/>
    <n v="99999"/>
    <s v="USA"/>
    <s v="Credit Card"/>
    <x v="13"/>
    <x v="8"/>
    <n v="18.399999999999999"/>
    <n v="65"/>
    <x v="54"/>
    <n v="123.188"/>
  </r>
  <r>
    <n v="1061"/>
    <x v="30"/>
    <n v="29"/>
    <x v="4"/>
    <s v="789 29th Street"/>
    <x v="3"/>
    <x v="3"/>
    <n v="99999"/>
    <s v="USA"/>
    <x v="3"/>
    <x v="0"/>
    <d v="2014-03-31T00:00:00"/>
    <s v="Shipping Company B"/>
    <s v="Soo Jung Lee"/>
    <s v="789 29th Street"/>
    <s v="Denver"/>
    <s v="CO"/>
    <n v="99999"/>
    <s v="USA"/>
    <s v="Check"/>
    <x v="0"/>
    <x v="0"/>
    <n v="14"/>
    <n v="72"/>
    <x v="55"/>
    <n v="100.8"/>
  </r>
  <r>
    <n v="1062"/>
    <x v="26"/>
    <n v="6"/>
    <x v="6"/>
    <s v="123 6th Street"/>
    <x v="5"/>
    <x v="5"/>
    <n v="99999"/>
    <s v="USA"/>
    <x v="4"/>
    <x v="2"/>
    <d v="2014-03-08T00:00:00"/>
    <s v="Shipping Company C"/>
    <s v="Francisco Pérez-Olaeta"/>
    <s v="123 6th Street"/>
    <s v="Milwaukee"/>
    <s v="WI"/>
    <n v="99999"/>
    <s v="USA"/>
    <s v="Check"/>
    <x v="7"/>
    <x v="3"/>
    <n v="12.75"/>
    <n v="16"/>
    <x v="56"/>
    <n v="20.196000000000002"/>
  </r>
  <r>
    <n v="1064"/>
    <x v="31"/>
    <n v="4"/>
    <x v="1"/>
    <s v="123 4th Street"/>
    <x v="1"/>
    <x v="1"/>
    <n v="99999"/>
    <s v="USA"/>
    <x v="1"/>
    <x v="1"/>
    <d v="2014-03-06T00:00:00"/>
    <s v="Shipping Company A"/>
    <s v="Christina Lee"/>
    <s v="123 4th Street"/>
    <s v="New York"/>
    <s v="NY"/>
    <n v="99999"/>
    <s v="USA"/>
    <s v="Credit Card"/>
    <x v="23"/>
    <x v="6"/>
    <n v="81"/>
    <n v="77"/>
    <x v="57"/>
    <n v="642.41099999999994"/>
  </r>
  <r>
    <n v="1065"/>
    <x v="31"/>
    <n v="4"/>
    <x v="1"/>
    <s v="123 4th Street"/>
    <x v="1"/>
    <x v="1"/>
    <n v="99999"/>
    <s v="USA"/>
    <x v="1"/>
    <x v="1"/>
    <d v="2014-03-06T00:00:00"/>
    <s v="Shipping Company A"/>
    <s v="Christina Lee"/>
    <s v="123 4th Street"/>
    <s v="New York"/>
    <s v="NY"/>
    <n v="99999"/>
    <s v="USA"/>
    <s v="Credit Card"/>
    <x v="24"/>
    <x v="14"/>
    <n v="7"/>
    <n v="37"/>
    <x v="58"/>
    <n v="24.605"/>
  </r>
  <r>
    <n v="1067"/>
    <x v="27"/>
    <n v="8"/>
    <x v="3"/>
    <s v="123 8th Street"/>
    <x v="2"/>
    <x v="2"/>
    <n v="99999"/>
    <s v="USA"/>
    <x v="2"/>
    <x v="2"/>
    <d v="2014-03-10T00:00:00"/>
    <s v="Shipping Company C"/>
    <s v="Elizabeth Andersen"/>
    <s v="123 8th Street"/>
    <s v="Portland"/>
    <s v="OR"/>
    <n v="99999"/>
    <s v="USA"/>
    <s v="Credit Card"/>
    <x v="15"/>
    <x v="10"/>
    <n v="34.799999999999997"/>
    <n v="63"/>
    <x v="59"/>
    <n v="217.04759999999999"/>
  </r>
  <r>
    <n v="1070"/>
    <x v="32"/>
    <n v="3"/>
    <x v="5"/>
    <s v="123 3rd Street"/>
    <x v="4"/>
    <x v="4"/>
    <n v="99999"/>
    <s v="USA"/>
    <x v="0"/>
    <x v="0"/>
    <d v="2014-03-05T00:00:00"/>
    <s v="Shipping Company B"/>
    <s v="Thomas Axerr"/>
    <s v="123 3rd Street"/>
    <s v="Los Angelas"/>
    <s v="CA"/>
    <n v="99999"/>
    <s v="USA"/>
    <s v="Cash"/>
    <x v="16"/>
    <x v="7"/>
    <n v="10"/>
    <n v="48"/>
    <x v="60"/>
    <n v="48"/>
  </r>
  <r>
    <n v="1071"/>
    <x v="32"/>
    <n v="3"/>
    <x v="5"/>
    <s v="123 3rd Street"/>
    <x v="4"/>
    <x v="4"/>
    <n v="99999"/>
    <s v="USA"/>
    <x v="0"/>
    <x v="0"/>
    <d v="2014-03-05T00:00:00"/>
    <s v="Shipping Company B"/>
    <s v="Thomas Axerr"/>
    <s v="123 3rd Street"/>
    <s v="Los Angelas"/>
    <s v="CA"/>
    <n v="99999"/>
    <s v="USA"/>
    <s v="Cash"/>
    <x v="9"/>
    <x v="5"/>
    <n v="40"/>
    <n v="71"/>
    <x v="61"/>
    <n v="295.36"/>
  </r>
  <r>
    <n v="1075"/>
    <x v="33"/>
    <n v="10"/>
    <x v="8"/>
    <s v="123 10th Street"/>
    <x v="7"/>
    <x v="7"/>
    <n v="99999"/>
    <s v="USA"/>
    <x v="6"/>
    <x v="1"/>
    <d v="2014-03-12T00:00:00"/>
    <s v="Shipping Company B"/>
    <s v="Roland Wacker"/>
    <s v="123 10th Street"/>
    <s v="Chicago"/>
    <s v="IL"/>
    <n v="99999"/>
    <s v="USA"/>
    <s v="Credit Card"/>
    <x v="18"/>
    <x v="1"/>
    <n v="10"/>
    <n v="55"/>
    <x v="62"/>
    <n v="55"/>
  </r>
  <r>
    <n v="1077"/>
    <x v="33"/>
    <n v="10"/>
    <x v="8"/>
    <s v="123 10th Street"/>
    <x v="7"/>
    <x v="7"/>
    <n v="99999"/>
    <s v="USA"/>
    <x v="6"/>
    <x v="1"/>
    <m/>
    <s v="Shipping Company A"/>
    <s v="Roland Wacker"/>
    <s v="123 10th Street"/>
    <s v="Chicago"/>
    <s v="IL"/>
    <n v="99999"/>
    <s v="USA"/>
    <m/>
    <x v="1"/>
    <x v="1"/>
    <n v="3.5"/>
    <n v="21"/>
    <x v="63"/>
    <n v="7.35"/>
  </r>
  <r>
    <n v="1078"/>
    <x v="34"/>
    <n v="11"/>
    <x v="10"/>
    <s v="123 11th Street"/>
    <x v="9"/>
    <x v="9"/>
    <n v="99999"/>
    <s v="USA"/>
    <x v="5"/>
    <x v="3"/>
    <m/>
    <s v="Shipping Company C"/>
    <s v="Peter Krschne"/>
    <s v="123 11th Street"/>
    <s v="Miami"/>
    <s v="FL"/>
    <n v="99999"/>
    <s v="USA"/>
    <m/>
    <x v="9"/>
    <x v="5"/>
    <n v="40"/>
    <n v="67"/>
    <x v="64"/>
    <n v="270.68"/>
  </r>
  <r>
    <n v="1079"/>
    <x v="23"/>
    <n v="1"/>
    <x v="11"/>
    <s v="123 1st Street"/>
    <x v="10"/>
    <x v="10"/>
    <n v="99999"/>
    <s v="USA"/>
    <x v="2"/>
    <x v="2"/>
    <m/>
    <s v="Shipping Company C"/>
    <s v="Anna Bedecs"/>
    <s v="123 1st Street"/>
    <s v="Seattle"/>
    <s v="WA"/>
    <n v="99999"/>
    <s v="USA"/>
    <m/>
    <x v="13"/>
    <x v="8"/>
    <n v="18.399999999999999"/>
    <n v="75"/>
    <x v="65"/>
    <n v="138"/>
  </r>
  <r>
    <n v="1080"/>
    <x v="35"/>
    <n v="28"/>
    <x v="7"/>
    <s v="789 28th Street"/>
    <x v="6"/>
    <x v="6"/>
    <n v="99999"/>
    <s v="USA"/>
    <x v="5"/>
    <x v="3"/>
    <d v="2014-03-30T00:00:00"/>
    <s v="Shipping Company C"/>
    <s v="Amritansh Raghav"/>
    <s v="789 28th Street"/>
    <s v="Memphis"/>
    <s v="TN"/>
    <n v="99999"/>
    <s v="USA"/>
    <s v="Credit Card"/>
    <x v="5"/>
    <x v="0"/>
    <n v="46"/>
    <n v="17"/>
    <x v="66"/>
    <n v="80.546000000000006"/>
  </r>
  <r>
    <n v="1081"/>
    <x v="36"/>
    <n v="4"/>
    <x v="1"/>
    <s v="123 4th Street"/>
    <x v="1"/>
    <x v="1"/>
    <n v="99999"/>
    <s v="USA"/>
    <x v="1"/>
    <x v="1"/>
    <d v="2014-04-06T00:00:00"/>
    <s v="Shipping Company A"/>
    <s v="Christina Lee"/>
    <s v="123 4th Street"/>
    <s v="New York"/>
    <s v="NY"/>
    <n v="99999"/>
    <s v="USA"/>
    <s v="Credit Card"/>
    <x v="1"/>
    <x v="1"/>
    <n v="3.5"/>
    <n v="48"/>
    <x v="67"/>
    <n v="16.295999999999999"/>
  </r>
  <r>
    <n v="1082"/>
    <x v="37"/>
    <n v="12"/>
    <x v="2"/>
    <s v="123 12th Street"/>
    <x v="0"/>
    <x v="0"/>
    <n v="99999"/>
    <s v="USA"/>
    <x v="0"/>
    <x v="0"/>
    <d v="2014-04-14T00:00:00"/>
    <s v="Shipping Company B"/>
    <s v="John Edwards"/>
    <s v="123 12th Street"/>
    <s v="Las Vegas"/>
    <s v="NV"/>
    <n v="99999"/>
    <s v="USA"/>
    <s v="Credit Card"/>
    <x v="4"/>
    <x v="0"/>
    <n v="18"/>
    <n v="74"/>
    <x v="68"/>
    <n v="137.196"/>
  </r>
  <r>
    <n v="1083"/>
    <x v="37"/>
    <n v="12"/>
    <x v="2"/>
    <s v="123 12th Street"/>
    <x v="0"/>
    <x v="0"/>
    <n v="99999"/>
    <s v="USA"/>
    <x v="0"/>
    <x v="0"/>
    <d v="2014-04-14T00:00:00"/>
    <s v="Shipping Company B"/>
    <s v="John Edwards"/>
    <s v="123 12th Street"/>
    <s v="Las Vegas"/>
    <s v="NV"/>
    <n v="99999"/>
    <s v="USA"/>
    <s v="Credit Card"/>
    <x v="5"/>
    <x v="0"/>
    <n v="46"/>
    <n v="96"/>
    <x v="69"/>
    <n v="428.35199999999998"/>
  </r>
  <r>
    <n v="1084"/>
    <x v="38"/>
    <n v="8"/>
    <x v="3"/>
    <s v="123 8th Street"/>
    <x v="2"/>
    <x v="2"/>
    <n v="99999"/>
    <s v="USA"/>
    <x v="2"/>
    <x v="2"/>
    <d v="2014-04-10T00:00:00"/>
    <s v="Shipping Company C"/>
    <s v="Elizabeth Andersen"/>
    <s v="123 8th Street"/>
    <s v="Portland"/>
    <s v="OR"/>
    <n v="99999"/>
    <s v="USA"/>
    <s v="Credit Card"/>
    <x v="6"/>
    <x v="2"/>
    <n v="9.1999999999999993"/>
    <n v="12"/>
    <x v="70"/>
    <n v="11.3712"/>
  </r>
  <r>
    <n v="1085"/>
    <x v="36"/>
    <n v="4"/>
    <x v="1"/>
    <s v="123 4th Street"/>
    <x v="1"/>
    <x v="1"/>
    <n v="99999"/>
    <s v="USA"/>
    <x v="1"/>
    <x v="1"/>
    <n v="41735"/>
    <s v="Shipping Company C"/>
    <s v="Christina Lee"/>
    <s v="123 4th Street"/>
    <s v="New York"/>
    <s v="NY"/>
    <n v="99999"/>
    <s v="USA"/>
    <s v="Check"/>
    <x v="6"/>
    <x v="2"/>
    <n v="9.1999999999999993"/>
    <n v="62"/>
    <x v="71"/>
    <n v="58.751199999999997"/>
  </r>
  <r>
    <n v="1086"/>
    <x v="39"/>
    <n v="29"/>
    <x v="4"/>
    <s v="789 29th Street"/>
    <x v="3"/>
    <x v="3"/>
    <n v="99999"/>
    <s v="USA"/>
    <x v="3"/>
    <x v="0"/>
    <n v="41760"/>
    <s v="Shipping Company B"/>
    <s v="Soo Jung Lee"/>
    <s v="789 29th Street"/>
    <s v="Denver"/>
    <s v="CO"/>
    <n v="99999"/>
    <s v="USA"/>
    <s v="Check"/>
    <x v="7"/>
    <x v="3"/>
    <n v="12.75"/>
    <n v="35"/>
    <x v="72"/>
    <n v="45.963749999999997"/>
  </r>
  <r>
    <n v="1087"/>
    <x v="40"/>
    <n v="3"/>
    <x v="5"/>
    <s v="123 3rd Street"/>
    <x v="4"/>
    <x v="4"/>
    <n v="99999"/>
    <s v="USA"/>
    <x v="0"/>
    <x v="0"/>
    <n v="41734"/>
    <s v="Shipping Company B"/>
    <s v="Thomas Axerr"/>
    <s v="123 3rd Street"/>
    <s v="Los Angelas"/>
    <s v="CA"/>
    <n v="99999"/>
    <s v="USA"/>
    <s v="Cash"/>
    <x v="8"/>
    <x v="4"/>
    <n v="9.65"/>
    <n v="95"/>
    <x v="73"/>
    <n v="91.674999999999997"/>
  </r>
  <r>
    <n v="1088"/>
    <x v="41"/>
    <n v="6"/>
    <x v="6"/>
    <s v="123 6th Street"/>
    <x v="5"/>
    <x v="5"/>
    <n v="99999"/>
    <s v="USA"/>
    <x v="4"/>
    <x v="2"/>
    <n v="41737"/>
    <s v="Shipping Company B"/>
    <s v="Francisco Pérez-Olaeta"/>
    <s v="123 6th Street"/>
    <s v="Milwaukee"/>
    <s v="WI"/>
    <n v="99999"/>
    <s v="USA"/>
    <s v="Credit Card"/>
    <x v="9"/>
    <x v="5"/>
    <n v="40"/>
    <n v="17"/>
    <x v="74"/>
    <n v="68.680000000000007"/>
  </r>
  <r>
    <n v="1089"/>
    <x v="42"/>
    <n v="28"/>
    <x v="7"/>
    <s v="789 28th Street"/>
    <x v="6"/>
    <x v="6"/>
    <n v="99999"/>
    <s v="USA"/>
    <x v="5"/>
    <x v="3"/>
    <d v="2014-04-30T00:00:00"/>
    <s v="Shipping Company C"/>
    <s v="Amritansh Raghav"/>
    <s v="789 28th Street"/>
    <s v="Memphis"/>
    <s v="TN"/>
    <n v="99999"/>
    <s v="USA"/>
    <s v="Check"/>
    <x v="5"/>
    <x v="0"/>
    <n v="46"/>
    <n v="96"/>
    <x v="69"/>
    <n v="463.68"/>
  </r>
  <r>
    <n v="1090"/>
    <x v="38"/>
    <n v="8"/>
    <x v="3"/>
    <s v="123 8th Street"/>
    <x v="2"/>
    <x v="2"/>
    <n v="99999"/>
    <s v="USA"/>
    <x v="2"/>
    <x v="2"/>
    <d v="2014-04-10T00:00:00"/>
    <s v="Shipping Company C"/>
    <s v="Elizabeth Andersen"/>
    <s v="123 8th Street"/>
    <s v="Portland"/>
    <s v="OR"/>
    <n v="99999"/>
    <s v="USA"/>
    <s v="Check"/>
    <x v="7"/>
    <x v="3"/>
    <n v="12.75"/>
    <n v="83"/>
    <x v="75"/>
    <n v="102.65025"/>
  </r>
  <r>
    <n v="1091"/>
    <x v="43"/>
    <n v="10"/>
    <x v="8"/>
    <s v="123 10th Street"/>
    <x v="7"/>
    <x v="7"/>
    <n v="99999"/>
    <s v="USA"/>
    <x v="6"/>
    <x v="1"/>
    <d v="2014-04-12T00:00:00"/>
    <s v="Shipping Company B"/>
    <s v="Roland Wacker"/>
    <s v="123 10th Street"/>
    <s v="Chicago"/>
    <s v="IL"/>
    <n v="99999"/>
    <s v="USA"/>
    <s v="Credit Card"/>
    <x v="10"/>
    <x v="0"/>
    <n v="2.99"/>
    <n v="88"/>
    <x v="76"/>
    <n v="26.04888"/>
  </r>
  <r>
    <n v="1092"/>
    <x v="44"/>
    <n v="7"/>
    <x v="9"/>
    <s v="123 7th Street"/>
    <x v="8"/>
    <x v="8"/>
    <n v="99999"/>
    <s v="USA"/>
    <x v="2"/>
    <x v="2"/>
    <m/>
    <m/>
    <s v="Ming-Yang Xie"/>
    <s v="123 7th Street"/>
    <s v="Boise"/>
    <s v="ID"/>
    <n v="99999"/>
    <s v="USA"/>
    <m/>
    <x v="5"/>
    <x v="0"/>
    <n v="46"/>
    <n v="59"/>
    <x v="77"/>
    <n v="284.97000000000003"/>
  </r>
  <r>
    <n v="1093"/>
    <x v="43"/>
    <n v="10"/>
    <x v="8"/>
    <s v="123 10th Street"/>
    <x v="7"/>
    <x v="7"/>
    <n v="99999"/>
    <s v="USA"/>
    <x v="6"/>
    <x v="1"/>
    <d v="2014-04-12T00:00:00"/>
    <s v="Shipping Company A"/>
    <s v="Roland Wacker"/>
    <s v="123 10th Street"/>
    <s v="Chicago"/>
    <s v="IL"/>
    <n v="99999"/>
    <s v="USA"/>
    <m/>
    <x v="11"/>
    <x v="6"/>
    <n v="25"/>
    <n v="27"/>
    <x v="78"/>
    <n v="68.849999999999994"/>
  </r>
  <r>
    <n v="1094"/>
    <x v="43"/>
    <n v="10"/>
    <x v="8"/>
    <s v="123 10th Street"/>
    <x v="7"/>
    <x v="7"/>
    <n v="99999"/>
    <s v="USA"/>
    <x v="6"/>
    <x v="1"/>
    <d v="2014-04-12T00:00:00"/>
    <s v="Shipping Company A"/>
    <s v="Roland Wacker"/>
    <s v="123 10th Street"/>
    <s v="Chicago"/>
    <s v="IL"/>
    <n v="99999"/>
    <s v="USA"/>
    <m/>
    <x v="12"/>
    <x v="7"/>
    <n v="22"/>
    <n v="37"/>
    <x v="79"/>
    <n v="85.47"/>
  </r>
  <r>
    <n v="1095"/>
    <x v="43"/>
    <n v="10"/>
    <x v="8"/>
    <s v="123 10th Street"/>
    <x v="7"/>
    <x v="7"/>
    <n v="99999"/>
    <s v="USA"/>
    <x v="6"/>
    <x v="1"/>
    <d v="2014-04-12T00:00:00"/>
    <s v="Shipping Company A"/>
    <s v="Roland Wacker"/>
    <s v="123 10th Street"/>
    <s v="Chicago"/>
    <s v="IL"/>
    <n v="99999"/>
    <s v="USA"/>
    <m/>
    <x v="6"/>
    <x v="2"/>
    <n v="9.1999999999999993"/>
    <n v="75"/>
    <x v="80"/>
    <n v="69"/>
  </r>
  <r>
    <n v="1096"/>
    <x v="45"/>
    <n v="11"/>
    <x v="10"/>
    <s v="123 11th Street"/>
    <x v="9"/>
    <x v="9"/>
    <n v="99999"/>
    <s v="USA"/>
    <x v="5"/>
    <x v="3"/>
    <m/>
    <s v="Shipping Company C"/>
    <s v="Peter Krschne"/>
    <s v="123 11th Street"/>
    <s v="Miami"/>
    <s v="FL"/>
    <n v="99999"/>
    <s v="USA"/>
    <m/>
    <x v="1"/>
    <x v="1"/>
    <n v="3.5"/>
    <n v="71"/>
    <x v="81"/>
    <n v="24.104500000000002"/>
  </r>
  <r>
    <n v="1097"/>
    <x v="45"/>
    <n v="11"/>
    <x v="10"/>
    <s v="123 11th Street"/>
    <x v="9"/>
    <x v="9"/>
    <n v="99999"/>
    <s v="USA"/>
    <x v="5"/>
    <x v="3"/>
    <m/>
    <s v="Shipping Company C"/>
    <s v="Peter Krschne"/>
    <s v="123 11th Street"/>
    <s v="Miami"/>
    <s v="FL"/>
    <n v="99999"/>
    <s v="USA"/>
    <m/>
    <x v="10"/>
    <x v="0"/>
    <n v="2.99"/>
    <n v="88"/>
    <x v="76"/>
    <n v="26.04888"/>
  </r>
  <r>
    <n v="1098"/>
    <x v="46"/>
    <n v="1"/>
    <x v="11"/>
    <s v="123 1st Street"/>
    <x v="10"/>
    <x v="10"/>
    <n v="99999"/>
    <s v="USA"/>
    <x v="2"/>
    <x v="2"/>
    <m/>
    <m/>
    <s v="Anna Bedecs"/>
    <s v="123 1st Street"/>
    <s v="Seattle"/>
    <s v="WA"/>
    <n v="99999"/>
    <s v="USA"/>
    <m/>
    <x v="4"/>
    <x v="0"/>
    <n v="18"/>
    <n v="55"/>
    <x v="82"/>
    <n v="97.02"/>
  </r>
  <r>
    <n v="1099"/>
    <x v="47"/>
    <n v="29"/>
    <x v="4"/>
    <s v="789 29th Street"/>
    <x v="3"/>
    <x v="3"/>
    <n v="99999"/>
    <s v="USA"/>
    <x v="3"/>
    <x v="0"/>
    <d v="2014-05-31T00:00:00"/>
    <s v="Shipping Company B"/>
    <s v="Soo Jung Lee"/>
    <s v="789 29th Street"/>
    <s v="Denver"/>
    <s v="CO"/>
    <n v="99999"/>
    <s v="USA"/>
    <s v="Check"/>
    <x v="7"/>
    <x v="3"/>
    <n v="12.75"/>
    <n v="14"/>
    <x v="83"/>
    <n v="16.9575"/>
  </r>
  <r>
    <n v="1100"/>
    <x v="48"/>
    <n v="3"/>
    <x v="5"/>
    <s v="123 3rd Street"/>
    <x v="4"/>
    <x v="4"/>
    <n v="99999"/>
    <s v="USA"/>
    <x v="0"/>
    <x v="0"/>
    <d v="2014-05-05T00:00:00"/>
    <s v="Shipping Company B"/>
    <s v="Thomas Axerr"/>
    <s v="123 3rd Street"/>
    <s v="Los Angelas"/>
    <s v="CA"/>
    <n v="99999"/>
    <s v="USA"/>
    <s v="Cash"/>
    <x v="8"/>
    <x v="4"/>
    <n v="9.65"/>
    <n v="43"/>
    <x v="84"/>
    <n v="42.3249"/>
  </r>
  <r>
    <n v="1101"/>
    <x v="49"/>
    <n v="6"/>
    <x v="6"/>
    <s v="123 6th Street"/>
    <x v="5"/>
    <x v="5"/>
    <n v="99999"/>
    <s v="USA"/>
    <x v="4"/>
    <x v="2"/>
    <n v="41767"/>
    <s v="Shipping Company B"/>
    <s v="Francisco Pérez-Olaeta"/>
    <s v="123 6th Street"/>
    <s v="Milwaukee"/>
    <s v="WI"/>
    <n v="99999"/>
    <s v="USA"/>
    <s v="Credit Card"/>
    <x v="9"/>
    <x v="5"/>
    <n v="40"/>
    <n v="63"/>
    <x v="85"/>
    <n v="254.52"/>
  </r>
  <r>
    <n v="1102"/>
    <x v="50"/>
    <n v="28"/>
    <x v="7"/>
    <s v="789 28th Street"/>
    <x v="6"/>
    <x v="6"/>
    <n v="99999"/>
    <s v="USA"/>
    <x v="5"/>
    <x v="3"/>
    <d v="2014-05-30T00:00:00"/>
    <s v="Shipping Company C"/>
    <s v="Amritansh Raghav"/>
    <s v="789 28th Street"/>
    <s v="Memphis"/>
    <s v="TN"/>
    <n v="99999"/>
    <s v="USA"/>
    <s v="Check"/>
    <x v="5"/>
    <x v="0"/>
    <n v="46"/>
    <n v="36"/>
    <x v="86"/>
    <n v="165.6"/>
  </r>
  <r>
    <n v="1103"/>
    <x v="51"/>
    <n v="8"/>
    <x v="3"/>
    <s v="123 8th Street"/>
    <x v="2"/>
    <x v="2"/>
    <n v="99999"/>
    <s v="USA"/>
    <x v="2"/>
    <x v="2"/>
    <d v="2014-05-10T00:00:00"/>
    <s v="Shipping Company C"/>
    <s v="Elizabeth Andersen"/>
    <s v="123 8th Street"/>
    <s v="Portland"/>
    <s v="OR"/>
    <n v="99999"/>
    <s v="USA"/>
    <s v="Check"/>
    <x v="7"/>
    <x v="3"/>
    <n v="12.75"/>
    <n v="41"/>
    <x v="87"/>
    <n v="54.366"/>
  </r>
  <r>
    <n v="1104"/>
    <x v="52"/>
    <n v="10"/>
    <x v="8"/>
    <s v="123 10th Street"/>
    <x v="7"/>
    <x v="7"/>
    <n v="99999"/>
    <s v="USA"/>
    <x v="6"/>
    <x v="1"/>
    <d v="2014-05-12T00:00:00"/>
    <s v="Shipping Company B"/>
    <s v="Roland Wacker"/>
    <s v="123 10th Street"/>
    <s v="Chicago"/>
    <s v="IL"/>
    <n v="99999"/>
    <s v="USA"/>
    <s v="Credit Card"/>
    <x v="10"/>
    <x v="0"/>
    <n v="2.99"/>
    <n v="35"/>
    <x v="88"/>
    <n v="10.255699999999999"/>
  </r>
  <r>
    <n v="1105"/>
    <x v="53"/>
    <n v="7"/>
    <x v="9"/>
    <s v="123 7th Street"/>
    <x v="8"/>
    <x v="8"/>
    <n v="99999"/>
    <s v="USA"/>
    <x v="2"/>
    <x v="2"/>
    <m/>
    <m/>
    <s v="Ming-Yang Xie"/>
    <s v="123 7th Street"/>
    <s v="Boise"/>
    <s v="ID"/>
    <n v="99999"/>
    <s v="USA"/>
    <m/>
    <x v="5"/>
    <x v="0"/>
    <n v="46"/>
    <n v="31"/>
    <x v="89"/>
    <n v="136.89599999999999"/>
  </r>
  <r>
    <n v="1106"/>
    <x v="52"/>
    <n v="10"/>
    <x v="8"/>
    <s v="123 10th Street"/>
    <x v="7"/>
    <x v="7"/>
    <n v="99999"/>
    <s v="USA"/>
    <x v="6"/>
    <x v="1"/>
    <n v="41771"/>
    <s v="Shipping Company A"/>
    <s v="Roland Wacker"/>
    <s v="123 10th Street"/>
    <s v="Chicago"/>
    <s v="IL"/>
    <n v="99999"/>
    <s v="USA"/>
    <m/>
    <x v="11"/>
    <x v="6"/>
    <n v="25"/>
    <n v="52"/>
    <x v="90"/>
    <n v="123.5"/>
  </r>
  <r>
    <n v="1107"/>
    <x v="52"/>
    <n v="10"/>
    <x v="8"/>
    <s v="123 10th Street"/>
    <x v="7"/>
    <x v="7"/>
    <n v="99999"/>
    <s v="USA"/>
    <x v="6"/>
    <x v="1"/>
    <n v="41771"/>
    <s v="Shipping Company A"/>
    <s v="Roland Wacker"/>
    <s v="123 10th Street"/>
    <s v="Chicago"/>
    <s v="IL"/>
    <n v="99999"/>
    <s v="USA"/>
    <m/>
    <x v="12"/>
    <x v="7"/>
    <n v="22"/>
    <n v="30"/>
    <x v="91"/>
    <n v="67.319999999999993"/>
  </r>
  <r>
    <n v="1108"/>
    <x v="52"/>
    <n v="10"/>
    <x v="8"/>
    <s v="123 10th Street"/>
    <x v="7"/>
    <x v="7"/>
    <n v="99999"/>
    <s v="USA"/>
    <x v="6"/>
    <x v="1"/>
    <d v="2014-05-12T00:00:00"/>
    <s v="Shipping Company A"/>
    <s v="Roland Wacker"/>
    <s v="123 10th Street"/>
    <s v="Chicago"/>
    <s v="IL"/>
    <n v="99999"/>
    <s v="USA"/>
    <m/>
    <x v="6"/>
    <x v="2"/>
    <n v="9.1999999999999993"/>
    <n v="41"/>
    <x v="92"/>
    <n v="38.474400000000003"/>
  </r>
  <r>
    <n v="1109"/>
    <x v="54"/>
    <n v="11"/>
    <x v="10"/>
    <s v="123 11th Street"/>
    <x v="9"/>
    <x v="9"/>
    <n v="99999"/>
    <s v="USA"/>
    <x v="5"/>
    <x v="3"/>
    <m/>
    <s v="Shipping Company C"/>
    <s v="Peter Krschne"/>
    <s v="123 11th Street"/>
    <s v="Miami"/>
    <s v="FL"/>
    <n v="99999"/>
    <s v="USA"/>
    <m/>
    <x v="1"/>
    <x v="1"/>
    <n v="3.5"/>
    <n v="44"/>
    <x v="93"/>
    <n v="15.246"/>
  </r>
  <r>
    <n v="1110"/>
    <x v="54"/>
    <n v="11"/>
    <x v="10"/>
    <s v="123 11th Street"/>
    <x v="9"/>
    <x v="9"/>
    <n v="99999"/>
    <s v="USA"/>
    <x v="5"/>
    <x v="3"/>
    <m/>
    <s v="Shipping Company C"/>
    <s v="Peter Krschne"/>
    <s v="123 11th Street"/>
    <s v="Miami"/>
    <s v="FL"/>
    <n v="99999"/>
    <s v="USA"/>
    <m/>
    <x v="10"/>
    <x v="0"/>
    <n v="2.99"/>
    <n v="77"/>
    <x v="94"/>
    <n v="23.023"/>
  </r>
  <r>
    <n v="1111"/>
    <x v="55"/>
    <n v="1"/>
    <x v="11"/>
    <s v="123 1st Street"/>
    <x v="10"/>
    <x v="10"/>
    <n v="99999"/>
    <s v="USA"/>
    <x v="2"/>
    <x v="2"/>
    <m/>
    <m/>
    <s v="Anna Bedecs"/>
    <s v="123 1st Street"/>
    <s v="Seattle"/>
    <s v="WA"/>
    <n v="99999"/>
    <s v="USA"/>
    <m/>
    <x v="4"/>
    <x v="0"/>
    <n v="18"/>
    <n v="29"/>
    <x v="95"/>
    <n v="52.722000000000001"/>
  </r>
  <r>
    <n v="1112"/>
    <x v="55"/>
    <n v="1"/>
    <x v="11"/>
    <s v="123 1st Street"/>
    <x v="10"/>
    <x v="10"/>
    <n v="99999"/>
    <s v="USA"/>
    <x v="2"/>
    <x v="2"/>
    <m/>
    <m/>
    <s v="Anna Bedecs"/>
    <s v="123 1st Street"/>
    <s v="Seattle"/>
    <s v="WA"/>
    <n v="99999"/>
    <s v="USA"/>
    <m/>
    <x v="5"/>
    <x v="0"/>
    <n v="46"/>
    <n v="77"/>
    <x v="96"/>
    <n v="368.36799999999999"/>
  </r>
  <r>
    <n v="1113"/>
    <x v="55"/>
    <n v="1"/>
    <x v="11"/>
    <s v="123 1st Street"/>
    <x v="10"/>
    <x v="10"/>
    <n v="99999"/>
    <s v="USA"/>
    <x v="2"/>
    <x v="2"/>
    <m/>
    <m/>
    <s v="Anna Bedecs"/>
    <s v="123 1st Street"/>
    <s v="Seattle"/>
    <s v="WA"/>
    <n v="99999"/>
    <s v="USA"/>
    <m/>
    <x v="10"/>
    <x v="0"/>
    <n v="2.99"/>
    <n v="73"/>
    <x v="97"/>
    <n v="21.827000000000002"/>
  </r>
  <r>
    <n v="1114"/>
    <x v="50"/>
    <n v="28"/>
    <x v="7"/>
    <s v="789 28th Street"/>
    <x v="6"/>
    <x v="6"/>
    <n v="99999"/>
    <s v="USA"/>
    <x v="5"/>
    <x v="3"/>
    <n v="41789"/>
    <s v="Shipping Company C"/>
    <s v="Amritansh Raghav"/>
    <s v="789 28th Street"/>
    <s v="Memphis"/>
    <s v="TN"/>
    <n v="99999"/>
    <s v="USA"/>
    <s v="Credit Card"/>
    <x v="8"/>
    <x v="4"/>
    <n v="9.65"/>
    <n v="74"/>
    <x v="98"/>
    <n v="67.839500000000001"/>
  </r>
  <r>
    <n v="1115"/>
    <x v="50"/>
    <n v="28"/>
    <x v="7"/>
    <s v="789 28th Street"/>
    <x v="6"/>
    <x v="6"/>
    <n v="99999"/>
    <s v="USA"/>
    <x v="5"/>
    <x v="3"/>
    <d v="2014-05-30T00:00:00"/>
    <s v="Shipping Company C"/>
    <s v="Amritansh Raghav"/>
    <s v="789 28th Street"/>
    <s v="Memphis"/>
    <s v="TN"/>
    <n v="99999"/>
    <s v="USA"/>
    <s v="Credit Card"/>
    <x v="13"/>
    <x v="8"/>
    <n v="18.399999999999999"/>
    <n v="25"/>
    <x v="51"/>
    <n v="46.46"/>
  </r>
  <r>
    <n v="1116"/>
    <x v="56"/>
    <n v="9"/>
    <x v="12"/>
    <s v="123 9th Street"/>
    <x v="11"/>
    <x v="11"/>
    <n v="99999"/>
    <s v="USA"/>
    <x v="7"/>
    <x v="0"/>
    <d v="2014-05-11T00:00:00"/>
    <s v="Shipping Company A"/>
    <s v="Sven Mortensen"/>
    <s v="123 9th Street"/>
    <s v="Salt Lake City"/>
    <s v="UT"/>
    <n v="99999"/>
    <s v="USA"/>
    <s v="Check"/>
    <x v="14"/>
    <x v="9"/>
    <n v="19.5"/>
    <n v="82"/>
    <x v="99"/>
    <n v="153.50399999999999"/>
  </r>
  <r>
    <n v="1117"/>
    <x v="56"/>
    <n v="9"/>
    <x v="12"/>
    <s v="123 9th Street"/>
    <x v="11"/>
    <x v="11"/>
    <n v="99999"/>
    <s v="USA"/>
    <x v="7"/>
    <x v="0"/>
    <d v="2014-05-11T00:00:00"/>
    <s v="Shipping Company A"/>
    <s v="Sven Mortensen"/>
    <s v="123 9th Street"/>
    <s v="Salt Lake City"/>
    <s v="UT"/>
    <n v="99999"/>
    <s v="USA"/>
    <s v="Check"/>
    <x v="15"/>
    <x v="10"/>
    <n v="34.799999999999997"/>
    <n v="37"/>
    <x v="100"/>
    <n v="132.62280000000001"/>
  </r>
  <r>
    <n v="1118"/>
    <x v="49"/>
    <n v="6"/>
    <x v="6"/>
    <s v="123 6th Street"/>
    <x v="5"/>
    <x v="5"/>
    <n v="99999"/>
    <s v="USA"/>
    <x v="4"/>
    <x v="2"/>
    <n v="41767"/>
    <s v="Shipping Company B"/>
    <s v="Francisco Pérez-Olaeta"/>
    <s v="123 6th Street"/>
    <s v="Milwaukee"/>
    <s v="WI"/>
    <n v="99999"/>
    <s v="USA"/>
    <s v="Credit Card"/>
    <x v="0"/>
    <x v="0"/>
    <n v="14"/>
    <n v="84"/>
    <x v="101"/>
    <n v="112.896"/>
  </r>
  <r>
    <n v="1119"/>
    <x v="51"/>
    <n v="8"/>
    <x v="3"/>
    <s v="123 8th Street"/>
    <x v="2"/>
    <x v="2"/>
    <n v="99999"/>
    <s v="USA"/>
    <x v="2"/>
    <x v="2"/>
    <n v="41769"/>
    <s v="Shipping Company B"/>
    <s v="Elizabeth Andersen"/>
    <s v="123 8th Street"/>
    <s v="Portland"/>
    <s v="OR"/>
    <n v="99999"/>
    <s v="USA"/>
    <s v="Check"/>
    <x v="9"/>
    <x v="5"/>
    <n v="40"/>
    <n v="73"/>
    <x v="102"/>
    <n v="283.24"/>
  </r>
  <r>
    <n v="1120"/>
    <x v="51"/>
    <n v="8"/>
    <x v="3"/>
    <s v="123 8th Street"/>
    <x v="2"/>
    <x v="2"/>
    <n v="99999"/>
    <s v="USA"/>
    <x v="2"/>
    <x v="2"/>
    <n v="41769"/>
    <s v="Shipping Company B"/>
    <s v="Elizabeth Andersen"/>
    <s v="123 8th Street"/>
    <s v="Portland"/>
    <s v="OR"/>
    <n v="99999"/>
    <s v="USA"/>
    <s v="Check"/>
    <x v="6"/>
    <x v="2"/>
    <n v="9.1999999999999993"/>
    <n v="51"/>
    <x v="103"/>
    <n v="44.573999999999998"/>
  </r>
  <r>
    <n v="1121"/>
    <x v="57"/>
    <n v="25"/>
    <x v="13"/>
    <s v="789 25th Street"/>
    <x v="7"/>
    <x v="7"/>
    <n v="99999"/>
    <s v="USA"/>
    <x v="6"/>
    <x v="1"/>
    <n v="41786"/>
    <s v="Shipping Company A"/>
    <s v="John Rodman"/>
    <s v="789 25th Street"/>
    <s v="Chicago"/>
    <s v="IL"/>
    <n v="99999"/>
    <s v="USA"/>
    <s v="Cash"/>
    <x v="21"/>
    <x v="2"/>
    <n v="10"/>
    <n v="66"/>
    <x v="91"/>
    <n v="68.64"/>
  </r>
  <r>
    <n v="1122"/>
    <x v="58"/>
    <n v="26"/>
    <x v="14"/>
    <s v="789 26th Street"/>
    <x v="9"/>
    <x v="9"/>
    <n v="99999"/>
    <s v="USA"/>
    <x v="5"/>
    <x v="3"/>
    <n v="41787"/>
    <s v="Shipping Company C"/>
    <s v="Run Liu"/>
    <s v="789 26th Street"/>
    <s v="Miami"/>
    <s v="FL"/>
    <n v="99999"/>
    <s v="USA"/>
    <s v="Credit Card"/>
    <x v="22"/>
    <x v="13"/>
    <n v="21.35"/>
    <n v="36"/>
    <x v="104"/>
    <n v="74.554199999999994"/>
  </r>
  <r>
    <n v="1123"/>
    <x v="58"/>
    <n v="26"/>
    <x v="14"/>
    <s v="789 26th Street"/>
    <x v="9"/>
    <x v="9"/>
    <n v="99999"/>
    <s v="USA"/>
    <x v="5"/>
    <x v="3"/>
    <d v="2014-05-28T00:00:00"/>
    <s v="Shipping Company C"/>
    <s v="Run Liu"/>
    <s v="789 26th Street"/>
    <s v="Miami"/>
    <s v="FL"/>
    <n v="99999"/>
    <s v="USA"/>
    <s v="Credit Card"/>
    <x v="8"/>
    <x v="4"/>
    <n v="9.65"/>
    <n v="87"/>
    <x v="105"/>
    <n v="87.313199999999995"/>
  </r>
  <r>
    <n v="1124"/>
    <x v="58"/>
    <n v="26"/>
    <x v="14"/>
    <s v="789 26th Street"/>
    <x v="9"/>
    <x v="9"/>
    <n v="99999"/>
    <s v="USA"/>
    <x v="5"/>
    <x v="3"/>
    <d v="2014-05-28T00:00:00"/>
    <s v="Shipping Company C"/>
    <s v="Run Liu"/>
    <s v="789 26th Street"/>
    <s v="Miami"/>
    <s v="FL"/>
    <n v="99999"/>
    <s v="USA"/>
    <s v="Credit Card"/>
    <x v="13"/>
    <x v="8"/>
    <n v="18.399999999999999"/>
    <n v="64"/>
    <x v="106"/>
    <n v="115.40479999999999"/>
  </r>
  <r>
    <n v="1125"/>
    <x v="47"/>
    <n v="29"/>
    <x v="4"/>
    <s v="789 29th Street"/>
    <x v="3"/>
    <x v="3"/>
    <n v="99999"/>
    <s v="USA"/>
    <x v="3"/>
    <x v="0"/>
    <d v="2014-05-31T00:00:00"/>
    <s v="Shipping Company B"/>
    <s v="Soo Jung Lee"/>
    <s v="789 29th Street"/>
    <s v="Denver"/>
    <s v="CO"/>
    <n v="99999"/>
    <s v="USA"/>
    <s v="Check"/>
    <x v="0"/>
    <x v="0"/>
    <n v="14"/>
    <n v="21"/>
    <x v="107"/>
    <n v="30.87"/>
  </r>
  <r>
    <n v="1126"/>
    <x v="49"/>
    <n v="6"/>
    <x v="6"/>
    <s v="123 6th Street"/>
    <x v="5"/>
    <x v="5"/>
    <n v="99999"/>
    <s v="USA"/>
    <x v="4"/>
    <x v="2"/>
    <d v="2014-05-08T00:00:00"/>
    <s v="Shipping Company C"/>
    <s v="Francisco Pérez-Olaeta"/>
    <s v="123 6th Street"/>
    <s v="Milwaukee"/>
    <s v="WI"/>
    <n v="99999"/>
    <s v="USA"/>
    <s v="Check"/>
    <x v="7"/>
    <x v="3"/>
    <n v="12.75"/>
    <n v="19"/>
    <x v="108"/>
    <n v="24.46725"/>
  </r>
  <r>
    <n v="1128"/>
    <x v="59"/>
    <n v="4"/>
    <x v="1"/>
    <s v="123 4th Street"/>
    <x v="1"/>
    <x v="1"/>
    <n v="99999"/>
    <s v="USA"/>
    <x v="1"/>
    <x v="1"/>
    <d v="2014-05-06T00:00:00"/>
    <s v="Shipping Company A"/>
    <s v="Christina Lee"/>
    <s v="123 4th Street"/>
    <s v="New York"/>
    <s v="NY"/>
    <n v="99999"/>
    <s v="USA"/>
    <s v="Credit Card"/>
    <x v="23"/>
    <x v="6"/>
    <n v="81"/>
    <n v="23"/>
    <x v="109"/>
    <n v="195.61500000000001"/>
  </r>
  <r>
    <n v="1129"/>
    <x v="59"/>
    <n v="4"/>
    <x v="1"/>
    <s v="123 4th Street"/>
    <x v="1"/>
    <x v="1"/>
    <n v="99999"/>
    <s v="USA"/>
    <x v="1"/>
    <x v="1"/>
    <d v="2014-05-06T00:00:00"/>
    <s v="Shipping Company A"/>
    <s v="Christina Lee"/>
    <s v="123 4th Street"/>
    <s v="New York"/>
    <s v="NY"/>
    <n v="99999"/>
    <s v="USA"/>
    <s v="Credit Card"/>
    <x v="24"/>
    <x v="14"/>
    <n v="7"/>
    <n v="72"/>
    <x v="110"/>
    <n v="51.911999999999999"/>
  </r>
  <r>
    <n v="1131"/>
    <x v="51"/>
    <n v="8"/>
    <x v="3"/>
    <s v="123 8th Street"/>
    <x v="2"/>
    <x v="2"/>
    <n v="99999"/>
    <s v="USA"/>
    <x v="2"/>
    <x v="2"/>
    <d v="2014-05-10T00:00:00"/>
    <s v="Shipping Company C"/>
    <s v="Elizabeth Andersen"/>
    <s v="123 8th Street"/>
    <s v="Portland"/>
    <s v="OR"/>
    <n v="99999"/>
    <s v="USA"/>
    <s v="Credit Card"/>
    <x v="15"/>
    <x v="10"/>
    <n v="34.799999999999997"/>
    <n v="22"/>
    <x v="111"/>
    <n v="75.028800000000004"/>
  </r>
  <r>
    <n v="1134"/>
    <x v="48"/>
    <n v="3"/>
    <x v="5"/>
    <s v="123 3rd Street"/>
    <x v="4"/>
    <x v="4"/>
    <n v="99999"/>
    <s v="USA"/>
    <x v="0"/>
    <x v="0"/>
    <d v="2014-05-05T00:00:00"/>
    <s v="Shipping Company B"/>
    <s v="Thomas Axerr"/>
    <s v="123 3rd Street"/>
    <s v="Los Angelas"/>
    <s v="CA"/>
    <n v="99999"/>
    <s v="USA"/>
    <s v="Cash"/>
    <x v="16"/>
    <x v="7"/>
    <n v="10"/>
    <n v="82"/>
    <x v="112"/>
    <n v="85.28"/>
  </r>
  <r>
    <n v="1135"/>
    <x v="48"/>
    <n v="3"/>
    <x v="5"/>
    <s v="123 3rd Street"/>
    <x v="4"/>
    <x v="4"/>
    <n v="99999"/>
    <s v="USA"/>
    <x v="0"/>
    <x v="0"/>
    <d v="2014-05-05T00:00:00"/>
    <s v="Shipping Company B"/>
    <s v="Thomas Axerr"/>
    <s v="123 3rd Street"/>
    <s v="Los Angelas"/>
    <s v="CA"/>
    <n v="99999"/>
    <s v="USA"/>
    <s v="Cash"/>
    <x v="9"/>
    <x v="5"/>
    <n v="40"/>
    <n v="98"/>
    <x v="113"/>
    <n v="411.6"/>
  </r>
  <r>
    <n v="1138"/>
    <x v="60"/>
    <n v="7"/>
    <x v="9"/>
    <s v="123 7th Street"/>
    <x v="8"/>
    <x v="8"/>
    <n v="99999"/>
    <s v="USA"/>
    <x v="2"/>
    <x v="2"/>
    <m/>
    <m/>
    <s v="Ming-Yang Xie"/>
    <s v="123 7th Street"/>
    <s v="Boise"/>
    <s v="ID"/>
    <n v="99999"/>
    <s v="USA"/>
    <m/>
    <x v="5"/>
    <x v="0"/>
    <n v="46"/>
    <n v="71"/>
    <x v="114"/>
    <n v="310.27"/>
  </r>
  <r>
    <n v="1139"/>
    <x v="61"/>
    <n v="10"/>
    <x v="8"/>
    <s v="123 10th Street"/>
    <x v="7"/>
    <x v="7"/>
    <n v="99999"/>
    <s v="USA"/>
    <x v="6"/>
    <x v="1"/>
    <d v="2014-06-12T00:00:00"/>
    <s v="Shipping Company A"/>
    <s v="Roland Wacker"/>
    <s v="123 10th Street"/>
    <s v="Chicago"/>
    <s v="IL"/>
    <n v="99999"/>
    <s v="USA"/>
    <m/>
    <x v="11"/>
    <x v="6"/>
    <n v="25"/>
    <n v="40"/>
    <x v="115"/>
    <n v="105"/>
  </r>
  <r>
    <n v="1140"/>
    <x v="61"/>
    <n v="10"/>
    <x v="8"/>
    <s v="123 10th Street"/>
    <x v="7"/>
    <x v="7"/>
    <n v="99999"/>
    <s v="USA"/>
    <x v="6"/>
    <x v="1"/>
    <d v="2014-06-12T00:00:00"/>
    <s v="Shipping Company A"/>
    <s v="Roland Wacker"/>
    <s v="123 10th Street"/>
    <s v="Chicago"/>
    <s v="IL"/>
    <n v="99999"/>
    <s v="USA"/>
    <m/>
    <x v="12"/>
    <x v="7"/>
    <n v="22"/>
    <n v="80"/>
    <x v="116"/>
    <n v="172.48"/>
  </r>
  <r>
    <n v="1141"/>
    <x v="61"/>
    <n v="10"/>
    <x v="8"/>
    <s v="123 10th Street"/>
    <x v="7"/>
    <x v="7"/>
    <n v="99999"/>
    <s v="USA"/>
    <x v="6"/>
    <x v="1"/>
    <d v="2014-06-12T00:00:00"/>
    <s v="Shipping Company A"/>
    <s v="Roland Wacker"/>
    <s v="123 10th Street"/>
    <s v="Chicago"/>
    <s v="IL"/>
    <n v="99999"/>
    <s v="USA"/>
    <m/>
    <x v="6"/>
    <x v="2"/>
    <n v="9.1999999999999993"/>
    <n v="38"/>
    <x v="7"/>
    <n v="33.212000000000003"/>
  </r>
  <r>
    <n v="1142"/>
    <x v="62"/>
    <n v="11"/>
    <x v="10"/>
    <s v="123 11th Street"/>
    <x v="9"/>
    <x v="9"/>
    <n v="99999"/>
    <s v="USA"/>
    <x v="5"/>
    <x v="3"/>
    <m/>
    <s v="Shipping Company C"/>
    <s v="Peter Krschne"/>
    <s v="123 11th Street"/>
    <s v="Miami"/>
    <s v="FL"/>
    <n v="99999"/>
    <s v="USA"/>
    <m/>
    <x v="1"/>
    <x v="1"/>
    <n v="3.5"/>
    <n v="28"/>
    <x v="117"/>
    <n v="10.29"/>
  </r>
  <r>
    <n v="1143"/>
    <x v="62"/>
    <n v="11"/>
    <x v="10"/>
    <s v="123 11th Street"/>
    <x v="9"/>
    <x v="9"/>
    <n v="99999"/>
    <s v="USA"/>
    <x v="5"/>
    <x v="3"/>
    <m/>
    <s v="Shipping Company C"/>
    <s v="Peter Krschne"/>
    <s v="123 11th Street"/>
    <s v="Miami"/>
    <s v="FL"/>
    <n v="99999"/>
    <s v="USA"/>
    <m/>
    <x v="10"/>
    <x v="0"/>
    <n v="2.99"/>
    <n v="60"/>
    <x v="118"/>
    <n v="17.581199999999999"/>
  </r>
  <r>
    <n v="1144"/>
    <x v="63"/>
    <n v="1"/>
    <x v="11"/>
    <s v="123 1st Street"/>
    <x v="10"/>
    <x v="10"/>
    <n v="99999"/>
    <s v="USA"/>
    <x v="2"/>
    <x v="2"/>
    <m/>
    <m/>
    <s v="Anna Bedecs"/>
    <s v="123 1st Street"/>
    <s v="Seattle"/>
    <s v="WA"/>
    <n v="99999"/>
    <s v="USA"/>
    <m/>
    <x v="4"/>
    <x v="0"/>
    <n v="18"/>
    <n v="33"/>
    <x v="119"/>
    <n v="58.212000000000003"/>
  </r>
  <r>
    <n v="1145"/>
    <x v="63"/>
    <n v="1"/>
    <x v="11"/>
    <s v="123 1st Street"/>
    <x v="10"/>
    <x v="10"/>
    <n v="99999"/>
    <s v="USA"/>
    <x v="2"/>
    <x v="2"/>
    <m/>
    <m/>
    <s v="Anna Bedecs"/>
    <s v="123 1st Street"/>
    <s v="Seattle"/>
    <s v="WA"/>
    <n v="99999"/>
    <s v="USA"/>
    <m/>
    <x v="5"/>
    <x v="0"/>
    <n v="46"/>
    <n v="22"/>
    <x v="120"/>
    <n v="101.2"/>
  </r>
  <r>
    <n v="1146"/>
    <x v="63"/>
    <n v="1"/>
    <x v="11"/>
    <s v="123 1st Street"/>
    <x v="10"/>
    <x v="10"/>
    <n v="99999"/>
    <s v="USA"/>
    <x v="2"/>
    <x v="2"/>
    <m/>
    <m/>
    <s v="Anna Bedecs"/>
    <s v="123 1st Street"/>
    <s v="Seattle"/>
    <s v="WA"/>
    <n v="99999"/>
    <s v="USA"/>
    <m/>
    <x v="10"/>
    <x v="0"/>
    <n v="2.99"/>
    <n v="51"/>
    <x v="121"/>
    <n v="14.94402"/>
  </r>
  <r>
    <n v="1147"/>
    <x v="64"/>
    <n v="28"/>
    <x v="7"/>
    <s v="789 28th Street"/>
    <x v="6"/>
    <x v="6"/>
    <n v="99999"/>
    <s v="USA"/>
    <x v="5"/>
    <x v="3"/>
    <d v="2014-06-30T00:00:00"/>
    <s v="Shipping Company C"/>
    <s v="Amritansh Raghav"/>
    <s v="789 28th Street"/>
    <s v="Memphis"/>
    <s v="TN"/>
    <n v="99999"/>
    <s v="USA"/>
    <s v="Credit Card"/>
    <x v="8"/>
    <x v="4"/>
    <n v="9.65"/>
    <n v="60"/>
    <x v="122"/>
    <n v="57.320999999999998"/>
  </r>
  <r>
    <n v="1148"/>
    <x v="64"/>
    <n v="28"/>
    <x v="7"/>
    <s v="789 28th Street"/>
    <x v="6"/>
    <x v="6"/>
    <n v="99999"/>
    <s v="USA"/>
    <x v="5"/>
    <x v="3"/>
    <d v="2014-06-30T00:00:00"/>
    <s v="Shipping Company C"/>
    <s v="Amritansh Raghav"/>
    <s v="789 28th Street"/>
    <s v="Memphis"/>
    <s v="TN"/>
    <n v="99999"/>
    <s v="USA"/>
    <s v="Credit Card"/>
    <x v="13"/>
    <x v="8"/>
    <n v="18.399999999999999"/>
    <n v="98"/>
    <x v="123"/>
    <n v="183.9264"/>
  </r>
  <r>
    <n v="1149"/>
    <x v="65"/>
    <n v="9"/>
    <x v="12"/>
    <s v="123 9th Street"/>
    <x v="11"/>
    <x v="11"/>
    <n v="99999"/>
    <s v="USA"/>
    <x v="7"/>
    <x v="0"/>
    <d v="2014-06-11T00:00:00"/>
    <s v="Shipping Company A"/>
    <s v="Sven Mortensen"/>
    <s v="123 9th Street"/>
    <s v="Salt Lake City"/>
    <s v="UT"/>
    <n v="99999"/>
    <s v="USA"/>
    <s v="Check"/>
    <x v="14"/>
    <x v="9"/>
    <n v="19.5"/>
    <n v="27"/>
    <x v="124"/>
    <n v="51.070500000000003"/>
  </r>
  <r>
    <n v="1150"/>
    <x v="65"/>
    <n v="9"/>
    <x v="12"/>
    <s v="123 9th Street"/>
    <x v="11"/>
    <x v="11"/>
    <n v="99999"/>
    <s v="USA"/>
    <x v="7"/>
    <x v="0"/>
    <d v="2014-06-11T00:00:00"/>
    <s v="Shipping Company A"/>
    <s v="Sven Mortensen"/>
    <s v="123 9th Street"/>
    <s v="Salt Lake City"/>
    <s v="UT"/>
    <n v="99999"/>
    <s v="USA"/>
    <s v="Check"/>
    <x v="15"/>
    <x v="10"/>
    <n v="34.799999999999997"/>
    <n v="88"/>
    <x v="125"/>
    <n v="303.17759999999998"/>
  </r>
  <r>
    <n v="1151"/>
    <x v="66"/>
    <n v="6"/>
    <x v="6"/>
    <s v="123 6th Street"/>
    <x v="5"/>
    <x v="5"/>
    <n v="99999"/>
    <s v="USA"/>
    <x v="4"/>
    <x v="2"/>
    <d v="2014-06-08T00:00:00"/>
    <s v="Shipping Company B"/>
    <s v="Francisco Pérez-Olaeta"/>
    <s v="123 6th Street"/>
    <s v="Milwaukee"/>
    <s v="WI"/>
    <n v="99999"/>
    <s v="USA"/>
    <s v="Credit Card"/>
    <x v="0"/>
    <x v="0"/>
    <n v="14"/>
    <n v="65"/>
    <x v="126"/>
    <n v="95.55"/>
  </r>
  <r>
    <n v="1152"/>
    <x v="67"/>
    <n v="8"/>
    <x v="3"/>
    <s v="123 8th Street"/>
    <x v="2"/>
    <x v="2"/>
    <n v="99999"/>
    <s v="USA"/>
    <x v="2"/>
    <x v="2"/>
    <d v="2014-06-10T00:00:00"/>
    <s v="Shipping Company B"/>
    <s v="Elizabeth Andersen"/>
    <s v="123 8th Street"/>
    <s v="Portland"/>
    <s v="OR"/>
    <n v="99999"/>
    <s v="USA"/>
    <s v="Check"/>
    <x v="9"/>
    <x v="5"/>
    <n v="40"/>
    <n v="38"/>
    <x v="127"/>
    <n v="148.96"/>
  </r>
  <r>
    <n v="1153"/>
    <x v="67"/>
    <n v="8"/>
    <x v="3"/>
    <s v="123 8th Street"/>
    <x v="2"/>
    <x v="2"/>
    <n v="99999"/>
    <s v="USA"/>
    <x v="2"/>
    <x v="2"/>
    <n v="41800"/>
    <s v="Shipping Company B"/>
    <s v="Elizabeth Andersen"/>
    <s v="123 8th Street"/>
    <s v="Portland"/>
    <s v="OR"/>
    <n v="99999"/>
    <s v="USA"/>
    <s v="Check"/>
    <x v="6"/>
    <x v="2"/>
    <n v="9.1999999999999993"/>
    <n v="80"/>
    <x v="128"/>
    <n v="70.656000000000006"/>
  </r>
  <r>
    <n v="1154"/>
    <x v="68"/>
    <n v="25"/>
    <x v="13"/>
    <s v="789 25th Street"/>
    <x v="7"/>
    <x v="7"/>
    <n v="99999"/>
    <s v="USA"/>
    <x v="6"/>
    <x v="1"/>
    <d v="2014-06-27T00:00:00"/>
    <s v="Shipping Company A"/>
    <s v="John Rodman"/>
    <s v="789 25th Street"/>
    <s v="Chicago"/>
    <s v="IL"/>
    <n v="99999"/>
    <s v="USA"/>
    <s v="Cash"/>
    <x v="21"/>
    <x v="2"/>
    <n v="10"/>
    <n v="49"/>
    <x v="129"/>
    <n v="47.04"/>
  </r>
  <r>
    <n v="1155"/>
    <x v="69"/>
    <n v="26"/>
    <x v="14"/>
    <s v="789 26th Street"/>
    <x v="9"/>
    <x v="9"/>
    <n v="99999"/>
    <s v="USA"/>
    <x v="5"/>
    <x v="3"/>
    <d v="2014-06-28T00:00:00"/>
    <s v="Shipping Company C"/>
    <s v="Run Liu"/>
    <s v="789 26th Street"/>
    <s v="Miami"/>
    <s v="FL"/>
    <n v="99999"/>
    <s v="USA"/>
    <s v="Credit Card"/>
    <x v="22"/>
    <x v="13"/>
    <n v="21.35"/>
    <n v="90"/>
    <x v="130"/>
    <n v="186.38550000000001"/>
  </r>
  <r>
    <n v="1156"/>
    <x v="69"/>
    <n v="26"/>
    <x v="14"/>
    <s v="789 26th Street"/>
    <x v="9"/>
    <x v="9"/>
    <n v="99999"/>
    <s v="USA"/>
    <x v="5"/>
    <x v="3"/>
    <d v="2014-06-28T00:00:00"/>
    <s v="Shipping Company C"/>
    <s v="Run Liu"/>
    <s v="789 26th Street"/>
    <s v="Miami"/>
    <s v="FL"/>
    <n v="99999"/>
    <s v="USA"/>
    <s v="Credit Card"/>
    <x v="8"/>
    <x v="4"/>
    <n v="9.65"/>
    <n v="60"/>
    <x v="122"/>
    <n v="59.637"/>
  </r>
  <r>
    <n v="1157"/>
    <x v="69"/>
    <n v="26"/>
    <x v="14"/>
    <s v="789 26th Street"/>
    <x v="9"/>
    <x v="9"/>
    <n v="99999"/>
    <s v="USA"/>
    <x v="5"/>
    <x v="3"/>
    <n v="41818"/>
    <s v="Shipping Company C"/>
    <s v="Run Liu"/>
    <s v="789 26th Street"/>
    <s v="Miami"/>
    <s v="FL"/>
    <n v="99999"/>
    <s v="USA"/>
    <s v="Credit Card"/>
    <x v="13"/>
    <x v="8"/>
    <n v="18.399999999999999"/>
    <n v="39"/>
    <x v="131"/>
    <n v="71.760000000000005"/>
  </r>
  <r>
    <n v="1158"/>
    <x v="70"/>
    <n v="29"/>
    <x v="4"/>
    <s v="789 29th Street"/>
    <x v="3"/>
    <x v="3"/>
    <n v="99999"/>
    <s v="USA"/>
    <x v="3"/>
    <x v="0"/>
    <n v="41821"/>
    <s v="Shipping Company B"/>
    <s v="Soo Jung Lee"/>
    <s v="789 29th Street"/>
    <s v="Denver"/>
    <s v="CO"/>
    <n v="99999"/>
    <s v="USA"/>
    <s v="Check"/>
    <x v="0"/>
    <x v="0"/>
    <n v="14"/>
    <n v="79"/>
    <x v="132"/>
    <n v="113.91800000000001"/>
  </r>
  <r>
    <n v="1159"/>
    <x v="66"/>
    <n v="6"/>
    <x v="6"/>
    <s v="123 6th Street"/>
    <x v="5"/>
    <x v="5"/>
    <n v="99999"/>
    <s v="USA"/>
    <x v="4"/>
    <x v="2"/>
    <n v="41798"/>
    <s v="Shipping Company C"/>
    <s v="Francisco Pérez-Olaeta"/>
    <s v="123 6th Street"/>
    <s v="Milwaukee"/>
    <s v="WI"/>
    <n v="99999"/>
    <s v="USA"/>
    <s v="Check"/>
    <x v="7"/>
    <x v="3"/>
    <n v="12.75"/>
    <n v="44"/>
    <x v="133"/>
    <n v="57.222000000000001"/>
  </r>
  <r>
    <n v="1161"/>
    <x v="71"/>
    <n v="4"/>
    <x v="1"/>
    <s v="123 4th Street"/>
    <x v="1"/>
    <x v="1"/>
    <n v="99999"/>
    <s v="USA"/>
    <x v="1"/>
    <x v="1"/>
    <n v="41796"/>
    <s v="Shipping Company A"/>
    <s v="Christina Lee"/>
    <s v="123 4th Street"/>
    <s v="New York"/>
    <s v="NY"/>
    <n v="99999"/>
    <s v="USA"/>
    <s v="Credit Card"/>
    <x v="23"/>
    <x v="6"/>
    <n v="81"/>
    <n v="98"/>
    <x v="134"/>
    <n v="769.98599999999999"/>
  </r>
  <r>
    <n v="1162"/>
    <x v="71"/>
    <n v="4"/>
    <x v="1"/>
    <s v="123 4th Street"/>
    <x v="1"/>
    <x v="1"/>
    <n v="99999"/>
    <s v="USA"/>
    <x v="1"/>
    <x v="1"/>
    <n v="41796"/>
    <s v="Shipping Company A"/>
    <s v="Christina Lee"/>
    <s v="123 4th Street"/>
    <s v="New York"/>
    <s v="NY"/>
    <n v="99999"/>
    <s v="USA"/>
    <s v="Credit Card"/>
    <x v="24"/>
    <x v="14"/>
    <n v="7"/>
    <n v="61"/>
    <x v="135"/>
    <n v="42.273000000000003"/>
  </r>
  <r>
    <n v="1164"/>
    <x v="67"/>
    <n v="8"/>
    <x v="3"/>
    <s v="123 8th Street"/>
    <x v="2"/>
    <x v="2"/>
    <n v="99999"/>
    <s v="USA"/>
    <x v="2"/>
    <x v="2"/>
    <d v="2014-06-10T00:00:00"/>
    <s v="Shipping Company C"/>
    <s v="Elizabeth Andersen"/>
    <s v="123 8th Street"/>
    <s v="Portland"/>
    <s v="OR"/>
    <n v="99999"/>
    <s v="USA"/>
    <s v="Credit Card"/>
    <x v="15"/>
    <x v="10"/>
    <n v="34.799999999999997"/>
    <n v="30"/>
    <x v="136"/>
    <n v="109.62"/>
  </r>
  <r>
    <n v="1167"/>
    <x v="72"/>
    <n v="3"/>
    <x v="5"/>
    <s v="123 3rd Street"/>
    <x v="4"/>
    <x v="4"/>
    <n v="99999"/>
    <s v="USA"/>
    <x v="0"/>
    <x v="0"/>
    <d v="2014-06-05T00:00:00"/>
    <s v="Shipping Company B"/>
    <s v="Thomas Axerr"/>
    <s v="123 3rd Street"/>
    <s v="Los Angelas"/>
    <s v="CA"/>
    <n v="99999"/>
    <s v="USA"/>
    <s v="Cash"/>
    <x v="16"/>
    <x v="7"/>
    <n v="10"/>
    <n v="24"/>
    <x v="137"/>
    <n v="25.2"/>
  </r>
  <r>
    <n v="1168"/>
    <x v="72"/>
    <n v="3"/>
    <x v="5"/>
    <s v="123 3rd Street"/>
    <x v="4"/>
    <x v="4"/>
    <n v="99999"/>
    <s v="USA"/>
    <x v="0"/>
    <x v="0"/>
    <d v="2014-06-05T00:00:00"/>
    <s v="Shipping Company B"/>
    <s v="Thomas Axerr"/>
    <s v="123 3rd Street"/>
    <s v="Los Angelas"/>
    <s v="CA"/>
    <n v="99999"/>
    <s v="USA"/>
    <s v="Cash"/>
    <x v="9"/>
    <x v="5"/>
    <n v="40"/>
    <n v="28"/>
    <x v="138"/>
    <n v="109.76"/>
  </r>
  <r>
    <n v="1172"/>
    <x v="61"/>
    <n v="10"/>
    <x v="8"/>
    <s v="123 10th Street"/>
    <x v="7"/>
    <x v="7"/>
    <n v="99999"/>
    <s v="USA"/>
    <x v="6"/>
    <x v="1"/>
    <d v="2014-06-12T00:00:00"/>
    <s v="Shipping Company B"/>
    <s v="Roland Wacker"/>
    <s v="123 10th Street"/>
    <s v="Chicago"/>
    <s v="IL"/>
    <n v="99999"/>
    <s v="USA"/>
    <s v="Credit Card"/>
    <x v="18"/>
    <x v="1"/>
    <n v="10"/>
    <n v="74"/>
    <x v="139"/>
    <n v="71.78"/>
  </r>
  <r>
    <n v="1174"/>
    <x v="61"/>
    <n v="10"/>
    <x v="8"/>
    <s v="123 10th Street"/>
    <x v="7"/>
    <x v="7"/>
    <n v="99999"/>
    <s v="USA"/>
    <x v="6"/>
    <x v="1"/>
    <m/>
    <s v="Shipping Company A"/>
    <s v="Roland Wacker"/>
    <s v="123 10th Street"/>
    <s v="Chicago"/>
    <s v="IL"/>
    <n v="99999"/>
    <s v="USA"/>
    <m/>
    <x v="1"/>
    <x v="1"/>
    <n v="3.5"/>
    <n v="90"/>
    <x v="140"/>
    <n v="30.24"/>
  </r>
  <r>
    <n v="1175"/>
    <x v="62"/>
    <n v="11"/>
    <x v="10"/>
    <s v="123 11th Street"/>
    <x v="9"/>
    <x v="9"/>
    <n v="99999"/>
    <s v="USA"/>
    <x v="5"/>
    <x v="3"/>
    <m/>
    <s v="Shipping Company C"/>
    <s v="Peter Krschne"/>
    <s v="123 11th Street"/>
    <s v="Miami"/>
    <s v="FL"/>
    <n v="99999"/>
    <s v="USA"/>
    <m/>
    <x v="9"/>
    <x v="5"/>
    <n v="40"/>
    <n v="27"/>
    <x v="141"/>
    <n v="111.24"/>
  </r>
  <r>
    <n v="1176"/>
    <x v="63"/>
    <n v="1"/>
    <x v="11"/>
    <s v="123 1st Street"/>
    <x v="10"/>
    <x v="10"/>
    <n v="99999"/>
    <s v="USA"/>
    <x v="2"/>
    <x v="2"/>
    <m/>
    <s v="Shipping Company C"/>
    <s v="Anna Bedecs"/>
    <s v="123 1st Street"/>
    <s v="Seattle"/>
    <s v="WA"/>
    <n v="99999"/>
    <s v="USA"/>
    <m/>
    <x v="13"/>
    <x v="8"/>
    <n v="18.399999999999999"/>
    <n v="71"/>
    <x v="142"/>
    <n v="137.172"/>
  </r>
  <r>
    <n v="1177"/>
    <x v="64"/>
    <n v="28"/>
    <x v="7"/>
    <s v="789 28th Street"/>
    <x v="6"/>
    <x v="6"/>
    <n v="99999"/>
    <s v="USA"/>
    <x v="5"/>
    <x v="3"/>
    <d v="2014-06-30T00:00:00"/>
    <s v="Shipping Company C"/>
    <s v="Amritansh Raghav"/>
    <s v="789 28th Street"/>
    <s v="Memphis"/>
    <s v="TN"/>
    <n v="99999"/>
    <s v="USA"/>
    <s v="Credit Card"/>
    <x v="5"/>
    <x v="0"/>
    <n v="46"/>
    <n v="74"/>
    <x v="143"/>
    <n v="340.4"/>
  </r>
  <r>
    <n v="1178"/>
    <x v="65"/>
    <n v="9"/>
    <x v="12"/>
    <s v="123 9th Street"/>
    <x v="11"/>
    <x v="11"/>
    <n v="99999"/>
    <s v="USA"/>
    <x v="7"/>
    <x v="0"/>
    <d v="2014-06-11T00:00:00"/>
    <s v="Shipping Company A"/>
    <s v="Sven Mortensen"/>
    <s v="123 9th Street"/>
    <s v="Salt Lake City"/>
    <s v="UT"/>
    <n v="99999"/>
    <s v="USA"/>
    <s v="Check"/>
    <x v="8"/>
    <x v="4"/>
    <n v="9.65"/>
    <n v="76"/>
    <x v="144"/>
    <n v="72.6066"/>
  </r>
  <r>
    <n v="1179"/>
    <x v="66"/>
    <n v="6"/>
    <x v="6"/>
    <s v="123 6th Street"/>
    <x v="5"/>
    <x v="5"/>
    <n v="99999"/>
    <s v="USA"/>
    <x v="4"/>
    <x v="2"/>
    <d v="2014-06-08T00:00:00"/>
    <s v="Shipping Company B"/>
    <s v="Francisco Pérez-Olaeta"/>
    <s v="123 6th Street"/>
    <s v="Milwaukee"/>
    <s v="WI"/>
    <n v="99999"/>
    <s v="USA"/>
    <s v="Credit Card"/>
    <x v="7"/>
    <x v="3"/>
    <n v="12.75"/>
    <n v="96"/>
    <x v="145"/>
    <n v="123.624"/>
  </r>
  <r>
    <n v="1180"/>
    <x v="67"/>
    <n v="8"/>
    <x v="3"/>
    <s v="123 8th Street"/>
    <x v="2"/>
    <x v="2"/>
    <n v="99999"/>
    <s v="USA"/>
    <x v="2"/>
    <x v="2"/>
    <d v="2014-06-10T00:00:00"/>
    <s v="Shipping Company B"/>
    <s v="Elizabeth Andersen"/>
    <s v="123 8th Street"/>
    <s v="Portland"/>
    <s v="OR"/>
    <n v="99999"/>
    <s v="USA"/>
    <s v="Check"/>
    <x v="7"/>
    <x v="3"/>
    <n v="12.75"/>
    <n v="92"/>
    <x v="146"/>
    <n v="116.127"/>
  </r>
  <r>
    <n v="1181"/>
    <x v="68"/>
    <n v="25"/>
    <x v="13"/>
    <s v="789 25th Street"/>
    <x v="7"/>
    <x v="7"/>
    <n v="99999"/>
    <s v="USA"/>
    <x v="6"/>
    <x v="1"/>
    <d v="2014-06-27T00:00:00"/>
    <s v="Shipping Company A"/>
    <s v="John Rodman"/>
    <s v="789 25th Street"/>
    <s v="Chicago"/>
    <s v="IL"/>
    <n v="99999"/>
    <s v="USA"/>
    <s v="Cash"/>
    <x v="12"/>
    <x v="7"/>
    <n v="22"/>
    <n v="93"/>
    <x v="147"/>
    <n v="200.50800000000001"/>
  </r>
  <r>
    <n v="1182"/>
    <x v="69"/>
    <n v="26"/>
    <x v="14"/>
    <s v="789 26th Street"/>
    <x v="9"/>
    <x v="9"/>
    <n v="99999"/>
    <s v="USA"/>
    <x v="5"/>
    <x v="3"/>
    <d v="2014-06-28T00:00:00"/>
    <s v="Shipping Company C"/>
    <s v="Run Liu"/>
    <s v="789 26th Street"/>
    <s v="Miami"/>
    <s v="FL"/>
    <n v="99999"/>
    <s v="USA"/>
    <s v="Credit Card"/>
    <x v="11"/>
    <x v="6"/>
    <n v="25"/>
    <n v="18"/>
    <x v="148"/>
    <n v="42.75"/>
  </r>
  <r>
    <n v="1183"/>
    <x v="70"/>
    <n v="29"/>
    <x v="4"/>
    <s v="789 29th Street"/>
    <x v="3"/>
    <x v="3"/>
    <n v="99999"/>
    <s v="USA"/>
    <x v="3"/>
    <x v="0"/>
    <d v="2014-07-01T00:00:00"/>
    <s v="Shipping Company B"/>
    <s v="Soo Jung Lee"/>
    <s v="789 29th Street"/>
    <s v="Denver"/>
    <s v="CO"/>
    <n v="99999"/>
    <s v="USA"/>
    <s v="Check"/>
    <x v="19"/>
    <x v="12"/>
    <n v="39"/>
    <n v="98"/>
    <x v="149"/>
    <n v="397.488"/>
  </r>
  <r>
    <n v="1184"/>
    <x v="66"/>
    <n v="6"/>
    <x v="6"/>
    <s v="123 6th Street"/>
    <x v="5"/>
    <x v="5"/>
    <n v="99999"/>
    <s v="USA"/>
    <x v="4"/>
    <x v="2"/>
    <d v="2014-06-08T00:00:00"/>
    <s v="Shipping Company C"/>
    <s v="Francisco Pérez-Olaeta"/>
    <s v="123 6th Street"/>
    <s v="Milwaukee"/>
    <s v="WI"/>
    <n v="99999"/>
    <s v="USA"/>
    <s v="Check"/>
    <x v="2"/>
    <x v="1"/>
    <n v="30"/>
    <n v="46"/>
    <x v="65"/>
    <n v="135.24"/>
  </r>
  <r>
    <n v="1185"/>
    <x v="66"/>
    <n v="6"/>
    <x v="6"/>
    <s v="123 6th Street"/>
    <x v="5"/>
    <x v="5"/>
    <n v="99999"/>
    <s v="USA"/>
    <x v="4"/>
    <x v="2"/>
    <d v="2014-06-08T00:00:00"/>
    <s v="Shipping Company C"/>
    <s v="Francisco Pérez-Olaeta"/>
    <s v="123 6th Street"/>
    <s v="Milwaukee"/>
    <s v="WI"/>
    <n v="99999"/>
    <s v="USA"/>
    <s v="Check"/>
    <x v="3"/>
    <x v="1"/>
    <n v="53"/>
    <n v="14"/>
    <x v="48"/>
    <n v="74.2"/>
  </r>
  <r>
    <n v="1186"/>
    <x v="71"/>
    <n v="4"/>
    <x v="1"/>
    <s v="123 4th Street"/>
    <x v="1"/>
    <x v="1"/>
    <n v="99999"/>
    <s v="USA"/>
    <x v="1"/>
    <x v="1"/>
    <m/>
    <m/>
    <s v="Christina Lee"/>
    <s v="123 4th Street"/>
    <s v="New York"/>
    <s v="NY"/>
    <n v="99999"/>
    <s v="USA"/>
    <m/>
    <x v="20"/>
    <x v="9"/>
    <n v="38"/>
    <n v="85"/>
    <x v="150"/>
    <n v="319.77"/>
  </r>
  <r>
    <n v="1187"/>
    <x v="72"/>
    <n v="3"/>
    <x v="5"/>
    <s v="123 3rd Street"/>
    <x v="4"/>
    <x v="4"/>
    <n v="99999"/>
    <s v="USA"/>
    <x v="0"/>
    <x v="0"/>
    <m/>
    <m/>
    <s v="Thomas Axerr"/>
    <s v="123 3rd Street"/>
    <s v="Los Angelas"/>
    <s v="CA"/>
    <n v="99999"/>
    <s v="USA"/>
    <m/>
    <x v="10"/>
    <x v="0"/>
    <n v="2.99"/>
    <n v="88"/>
    <x v="76"/>
    <n v="25.522639999999999"/>
  </r>
  <r>
    <n v="1188"/>
    <x v="73"/>
    <n v="1"/>
    <x v="11"/>
    <s v="123 1st Street"/>
    <x v="10"/>
    <x v="10"/>
    <n v="99999"/>
    <s v="USA"/>
    <x v="2"/>
    <x v="2"/>
    <m/>
    <m/>
    <s v="Anna Bedecs"/>
    <s v="123 1st Street"/>
    <s v="Seattle"/>
    <s v="WA"/>
    <n v="99999"/>
    <s v="USA"/>
    <m/>
    <x v="10"/>
    <x v="0"/>
    <n v="2.99"/>
    <n v="81"/>
    <x v="151"/>
    <n v="23.97681"/>
  </r>
  <r>
    <n v="1189"/>
    <x v="74"/>
    <n v="28"/>
    <x v="7"/>
    <s v="789 28th Street"/>
    <x v="6"/>
    <x v="6"/>
    <n v="99999"/>
    <s v="USA"/>
    <x v="5"/>
    <x v="3"/>
    <d v="2014-07-30T00:00:00"/>
    <s v="Shipping Company C"/>
    <s v="Amritansh Raghav"/>
    <s v="789 28th Street"/>
    <s v="Memphis"/>
    <s v="TN"/>
    <n v="99999"/>
    <s v="USA"/>
    <s v="Credit Card"/>
    <x v="8"/>
    <x v="4"/>
    <n v="9.65"/>
    <n v="33"/>
    <x v="152"/>
    <n v="30.252749999999999"/>
  </r>
  <r>
    <n v="1190"/>
    <x v="74"/>
    <n v="28"/>
    <x v="7"/>
    <s v="789 28th Street"/>
    <x v="6"/>
    <x v="6"/>
    <n v="99999"/>
    <s v="USA"/>
    <x v="5"/>
    <x v="3"/>
    <d v="2014-07-30T00:00:00"/>
    <s v="Shipping Company C"/>
    <s v="Amritansh Raghav"/>
    <s v="789 28th Street"/>
    <s v="Memphis"/>
    <s v="TN"/>
    <n v="99999"/>
    <s v="USA"/>
    <s v="Credit Card"/>
    <x v="13"/>
    <x v="8"/>
    <n v="18.399999999999999"/>
    <n v="47"/>
    <x v="153"/>
    <n v="90.804000000000002"/>
  </r>
  <r>
    <n v="1191"/>
    <x v="75"/>
    <n v="9"/>
    <x v="12"/>
    <s v="123 9th Street"/>
    <x v="11"/>
    <x v="11"/>
    <n v="99999"/>
    <s v="USA"/>
    <x v="7"/>
    <x v="0"/>
    <d v="2014-07-11T00:00:00"/>
    <s v="Shipping Company A"/>
    <s v="Sven Mortensen"/>
    <s v="123 9th Street"/>
    <s v="Salt Lake City"/>
    <s v="UT"/>
    <n v="99999"/>
    <s v="USA"/>
    <s v="Check"/>
    <x v="14"/>
    <x v="9"/>
    <n v="19.5"/>
    <n v="61"/>
    <x v="154"/>
    <n v="123.708"/>
  </r>
  <r>
    <n v="1192"/>
    <x v="75"/>
    <n v="9"/>
    <x v="12"/>
    <s v="123 9th Street"/>
    <x v="11"/>
    <x v="11"/>
    <n v="99999"/>
    <s v="USA"/>
    <x v="7"/>
    <x v="0"/>
    <d v="2014-07-11T00:00:00"/>
    <s v="Shipping Company A"/>
    <s v="Sven Mortensen"/>
    <s v="123 9th Street"/>
    <s v="Salt Lake City"/>
    <s v="UT"/>
    <n v="99999"/>
    <s v="USA"/>
    <s v="Check"/>
    <x v="15"/>
    <x v="10"/>
    <n v="34.799999999999997"/>
    <n v="27"/>
    <x v="155"/>
    <n v="95.839200000000005"/>
  </r>
  <r>
    <n v="1193"/>
    <x v="76"/>
    <n v="6"/>
    <x v="6"/>
    <s v="123 6th Street"/>
    <x v="5"/>
    <x v="5"/>
    <n v="99999"/>
    <s v="USA"/>
    <x v="4"/>
    <x v="2"/>
    <d v="2014-07-08T00:00:00"/>
    <s v="Shipping Company B"/>
    <s v="Francisco Pérez-Olaeta"/>
    <s v="123 6th Street"/>
    <s v="Milwaukee"/>
    <s v="WI"/>
    <n v="99999"/>
    <s v="USA"/>
    <s v="Credit Card"/>
    <x v="0"/>
    <x v="0"/>
    <n v="14"/>
    <n v="84"/>
    <x v="101"/>
    <n v="118.776"/>
  </r>
  <r>
    <n v="1194"/>
    <x v="77"/>
    <n v="8"/>
    <x v="3"/>
    <s v="123 8th Street"/>
    <x v="2"/>
    <x v="2"/>
    <n v="99999"/>
    <s v="USA"/>
    <x v="2"/>
    <x v="2"/>
    <d v="2014-07-10T00:00:00"/>
    <s v="Shipping Company B"/>
    <s v="Elizabeth Andersen"/>
    <s v="123 8th Street"/>
    <s v="Portland"/>
    <s v="OR"/>
    <n v="99999"/>
    <s v="USA"/>
    <s v="Check"/>
    <x v="9"/>
    <x v="5"/>
    <n v="40"/>
    <n v="91"/>
    <x v="156"/>
    <n v="360.36"/>
  </r>
  <r>
    <n v="1195"/>
    <x v="77"/>
    <n v="8"/>
    <x v="3"/>
    <s v="123 8th Street"/>
    <x v="2"/>
    <x v="2"/>
    <n v="99999"/>
    <s v="USA"/>
    <x v="2"/>
    <x v="2"/>
    <d v="2014-07-10T00:00:00"/>
    <s v="Shipping Company B"/>
    <s v="Elizabeth Andersen"/>
    <s v="123 8th Street"/>
    <s v="Portland"/>
    <s v="OR"/>
    <n v="99999"/>
    <s v="USA"/>
    <s v="Check"/>
    <x v="6"/>
    <x v="2"/>
    <n v="9.1999999999999993"/>
    <n v="36"/>
    <x v="157"/>
    <n v="34.444800000000001"/>
  </r>
  <r>
    <n v="1196"/>
    <x v="78"/>
    <n v="25"/>
    <x v="13"/>
    <s v="789 25th Street"/>
    <x v="7"/>
    <x v="7"/>
    <n v="99999"/>
    <s v="USA"/>
    <x v="6"/>
    <x v="1"/>
    <n v="41847"/>
    <s v="Shipping Company A"/>
    <s v="John Rodman"/>
    <s v="789 25th Street"/>
    <s v="Chicago"/>
    <s v="IL"/>
    <n v="99999"/>
    <s v="USA"/>
    <s v="Cash"/>
    <x v="21"/>
    <x v="2"/>
    <n v="10"/>
    <n v="34"/>
    <x v="158"/>
    <n v="34.340000000000003"/>
  </r>
  <r>
    <n v="1197"/>
    <x v="79"/>
    <n v="26"/>
    <x v="14"/>
    <s v="789 26th Street"/>
    <x v="9"/>
    <x v="9"/>
    <n v="99999"/>
    <s v="USA"/>
    <x v="5"/>
    <x v="3"/>
    <n v="41848"/>
    <s v="Shipping Company C"/>
    <s v="Run Liu"/>
    <s v="789 26th Street"/>
    <s v="Miami"/>
    <s v="FL"/>
    <n v="99999"/>
    <s v="USA"/>
    <s v="Credit Card"/>
    <x v="22"/>
    <x v="13"/>
    <n v="21.35"/>
    <n v="81"/>
    <x v="159"/>
    <n v="178.12305000000001"/>
  </r>
  <r>
    <n v="1198"/>
    <x v="79"/>
    <n v="26"/>
    <x v="14"/>
    <s v="789 26th Street"/>
    <x v="9"/>
    <x v="9"/>
    <n v="99999"/>
    <s v="USA"/>
    <x v="5"/>
    <x v="3"/>
    <n v="41848"/>
    <s v="Shipping Company C"/>
    <s v="Run Liu"/>
    <s v="789 26th Street"/>
    <s v="Miami"/>
    <s v="FL"/>
    <n v="99999"/>
    <s v="USA"/>
    <s v="Credit Card"/>
    <x v="8"/>
    <x v="4"/>
    <n v="9.65"/>
    <n v="25"/>
    <x v="160"/>
    <n v="23.401250000000001"/>
  </r>
  <r>
    <n v="1199"/>
    <x v="79"/>
    <n v="26"/>
    <x v="14"/>
    <s v="789 26th Street"/>
    <x v="9"/>
    <x v="9"/>
    <n v="99999"/>
    <s v="USA"/>
    <x v="5"/>
    <x v="3"/>
    <n v="41848"/>
    <s v="Shipping Company C"/>
    <s v="Run Liu"/>
    <s v="789 26th Street"/>
    <s v="Miami"/>
    <s v="FL"/>
    <n v="99999"/>
    <s v="USA"/>
    <s v="Credit Card"/>
    <x v="13"/>
    <x v="8"/>
    <n v="18.399999999999999"/>
    <n v="12"/>
    <x v="161"/>
    <n v="22.08"/>
  </r>
  <r>
    <n v="1200"/>
    <x v="80"/>
    <n v="29"/>
    <x v="4"/>
    <s v="789 29th Street"/>
    <x v="3"/>
    <x v="3"/>
    <n v="99999"/>
    <s v="USA"/>
    <x v="3"/>
    <x v="0"/>
    <d v="2014-07-31T00:00:00"/>
    <s v="Shipping Company B"/>
    <s v="Soo Jung Lee"/>
    <s v="789 29th Street"/>
    <s v="Denver"/>
    <s v="CO"/>
    <n v="99999"/>
    <s v="USA"/>
    <s v="Check"/>
    <x v="0"/>
    <x v="0"/>
    <n v="14"/>
    <n v="23"/>
    <x v="162"/>
    <n v="30.911999999999999"/>
  </r>
  <r>
    <n v="1201"/>
    <x v="76"/>
    <n v="6"/>
    <x v="6"/>
    <s v="123 6th Street"/>
    <x v="5"/>
    <x v="5"/>
    <n v="99999"/>
    <s v="USA"/>
    <x v="4"/>
    <x v="2"/>
    <d v="2014-07-08T00:00:00"/>
    <s v="Shipping Company C"/>
    <s v="Francisco Pérez-Olaeta"/>
    <s v="123 6th Street"/>
    <s v="Milwaukee"/>
    <s v="WI"/>
    <n v="99999"/>
    <s v="USA"/>
    <s v="Check"/>
    <x v="7"/>
    <x v="3"/>
    <n v="12.75"/>
    <n v="76"/>
    <x v="163"/>
    <n v="97.869"/>
  </r>
  <r>
    <n v="1203"/>
    <x v="81"/>
    <n v="4"/>
    <x v="1"/>
    <s v="123 4th Street"/>
    <x v="1"/>
    <x v="1"/>
    <n v="99999"/>
    <s v="USA"/>
    <x v="1"/>
    <x v="1"/>
    <d v="2014-07-06T00:00:00"/>
    <s v="Shipping Company A"/>
    <s v="Christina Lee"/>
    <s v="123 4th Street"/>
    <s v="New York"/>
    <s v="NY"/>
    <n v="99999"/>
    <s v="USA"/>
    <s v="Credit Card"/>
    <x v="23"/>
    <x v="6"/>
    <n v="81"/>
    <n v="55"/>
    <x v="164"/>
    <n v="445.5"/>
  </r>
  <r>
    <n v="1204"/>
    <x v="81"/>
    <n v="4"/>
    <x v="1"/>
    <s v="123 4th Street"/>
    <x v="1"/>
    <x v="1"/>
    <n v="99999"/>
    <s v="USA"/>
    <x v="1"/>
    <x v="1"/>
    <d v="2014-07-06T00:00:00"/>
    <s v="Shipping Company A"/>
    <s v="Christina Lee"/>
    <s v="123 4th Street"/>
    <s v="New York"/>
    <s v="NY"/>
    <n v="99999"/>
    <s v="USA"/>
    <s v="Credit Card"/>
    <x v="24"/>
    <x v="14"/>
    <n v="7"/>
    <n v="19"/>
    <x v="165"/>
    <n v="12.901"/>
  </r>
  <r>
    <n v="1206"/>
    <x v="77"/>
    <n v="8"/>
    <x v="3"/>
    <s v="123 8th Street"/>
    <x v="2"/>
    <x v="2"/>
    <n v="99999"/>
    <s v="USA"/>
    <x v="2"/>
    <x v="2"/>
    <d v="2014-07-10T00:00:00"/>
    <s v="Shipping Company C"/>
    <s v="Elizabeth Andersen"/>
    <s v="123 8th Street"/>
    <s v="Portland"/>
    <s v="OR"/>
    <n v="99999"/>
    <s v="USA"/>
    <s v="Credit Card"/>
    <x v="15"/>
    <x v="10"/>
    <n v="34.799999999999997"/>
    <n v="27"/>
    <x v="155"/>
    <n v="89.262"/>
  </r>
  <r>
    <n v="1209"/>
    <x v="82"/>
    <n v="3"/>
    <x v="5"/>
    <s v="123 3rd Street"/>
    <x v="4"/>
    <x v="4"/>
    <n v="99999"/>
    <s v="USA"/>
    <x v="0"/>
    <x v="0"/>
    <d v="2014-07-05T00:00:00"/>
    <s v="Shipping Company B"/>
    <s v="Thomas Axerr"/>
    <s v="123 3rd Street"/>
    <s v="Los Angelas"/>
    <s v="CA"/>
    <n v="99999"/>
    <s v="USA"/>
    <s v="Cash"/>
    <x v="16"/>
    <x v="7"/>
    <n v="10"/>
    <n v="99"/>
    <x v="82"/>
    <n v="95.04"/>
  </r>
  <r>
    <n v="1210"/>
    <x v="82"/>
    <n v="3"/>
    <x v="5"/>
    <s v="123 3rd Street"/>
    <x v="4"/>
    <x v="4"/>
    <n v="99999"/>
    <s v="USA"/>
    <x v="0"/>
    <x v="0"/>
    <d v="2014-07-05T00:00:00"/>
    <s v="Shipping Company B"/>
    <s v="Thomas Axerr"/>
    <s v="123 3rd Street"/>
    <s v="Los Angelas"/>
    <s v="CA"/>
    <n v="99999"/>
    <s v="USA"/>
    <s v="Cash"/>
    <x v="9"/>
    <x v="5"/>
    <n v="40"/>
    <n v="10"/>
    <x v="166"/>
    <n v="40"/>
  </r>
  <r>
    <n v="1214"/>
    <x v="83"/>
    <n v="10"/>
    <x v="8"/>
    <s v="123 10th Street"/>
    <x v="7"/>
    <x v="7"/>
    <n v="99999"/>
    <s v="USA"/>
    <x v="6"/>
    <x v="1"/>
    <d v="2014-07-12T00:00:00"/>
    <s v="Shipping Company B"/>
    <s v="Roland Wacker"/>
    <s v="123 10th Street"/>
    <s v="Chicago"/>
    <s v="IL"/>
    <n v="99999"/>
    <s v="USA"/>
    <s v="Credit Card"/>
    <x v="18"/>
    <x v="1"/>
    <n v="10"/>
    <n v="80"/>
    <x v="167"/>
    <n v="77.599999999999994"/>
  </r>
  <r>
    <n v="1216"/>
    <x v="83"/>
    <n v="10"/>
    <x v="8"/>
    <s v="123 10th Street"/>
    <x v="7"/>
    <x v="7"/>
    <n v="99999"/>
    <s v="USA"/>
    <x v="6"/>
    <x v="1"/>
    <m/>
    <s v="Shipping Company A"/>
    <s v="Roland Wacker"/>
    <s v="123 10th Street"/>
    <s v="Chicago"/>
    <s v="IL"/>
    <n v="99999"/>
    <s v="USA"/>
    <m/>
    <x v="1"/>
    <x v="1"/>
    <n v="3.5"/>
    <n v="27"/>
    <x v="168"/>
    <n v="9.0719999999999992"/>
  </r>
  <r>
    <n v="1217"/>
    <x v="84"/>
    <n v="11"/>
    <x v="10"/>
    <s v="123 11th Street"/>
    <x v="9"/>
    <x v="9"/>
    <n v="99999"/>
    <s v="USA"/>
    <x v="5"/>
    <x v="3"/>
    <m/>
    <s v="Shipping Company C"/>
    <s v="Peter Krschne"/>
    <s v="123 11th Street"/>
    <s v="Miami"/>
    <s v="FL"/>
    <n v="99999"/>
    <s v="USA"/>
    <m/>
    <x v="9"/>
    <x v="5"/>
    <n v="40"/>
    <n v="97"/>
    <x v="169"/>
    <n v="380.24"/>
  </r>
  <r>
    <n v="1218"/>
    <x v="73"/>
    <n v="1"/>
    <x v="11"/>
    <s v="123 1st Street"/>
    <x v="10"/>
    <x v="10"/>
    <n v="99999"/>
    <s v="USA"/>
    <x v="2"/>
    <x v="2"/>
    <m/>
    <s v="Shipping Company C"/>
    <s v="Anna Bedecs"/>
    <s v="123 1st Street"/>
    <s v="Seattle"/>
    <s v="WA"/>
    <n v="99999"/>
    <s v="USA"/>
    <m/>
    <x v="13"/>
    <x v="8"/>
    <n v="18.399999999999999"/>
    <n v="42"/>
    <x v="170"/>
    <n v="80.371200000000002"/>
  </r>
  <r>
    <n v="1219"/>
    <x v="74"/>
    <n v="28"/>
    <x v="7"/>
    <s v="789 28th Street"/>
    <x v="6"/>
    <x v="6"/>
    <n v="99999"/>
    <s v="USA"/>
    <x v="5"/>
    <x v="3"/>
    <n v="41850"/>
    <s v="Shipping Company C"/>
    <s v="Amritansh Raghav"/>
    <s v="789 28th Street"/>
    <s v="Memphis"/>
    <s v="TN"/>
    <n v="99999"/>
    <s v="USA"/>
    <s v="Credit Card"/>
    <x v="5"/>
    <x v="0"/>
    <n v="46"/>
    <n v="24"/>
    <x v="15"/>
    <n v="105.98399999999999"/>
  </r>
  <r>
    <n v="1220"/>
    <x v="75"/>
    <n v="9"/>
    <x v="12"/>
    <s v="123 9th Street"/>
    <x v="11"/>
    <x v="11"/>
    <n v="99999"/>
    <s v="USA"/>
    <x v="7"/>
    <x v="0"/>
    <d v="2014-07-11T00:00:00"/>
    <s v="Shipping Company A"/>
    <s v="Sven Mortensen"/>
    <s v="123 9th Street"/>
    <s v="Salt Lake City"/>
    <s v="UT"/>
    <n v="99999"/>
    <s v="USA"/>
    <s v="Check"/>
    <x v="8"/>
    <x v="4"/>
    <n v="9.65"/>
    <n v="90"/>
    <x v="171"/>
    <n v="83.376000000000005"/>
  </r>
  <r>
    <n v="1221"/>
    <x v="76"/>
    <n v="6"/>
    <x v="6"/>
    <s v="123 6th Street"/>
    <x v="5"/>
    <x v="5"/>
    <n v="99999"/>
    <s v="USA"/>
    <x v="4"/>
    <x v="2"/>
    <d v="2014-07-08T00:00:00"/>
    <s v="Shipping Company B"/>
    <s v="Francisco Pérez-Olaeta"/>
    <s v="123 6th Street"/>
    <s v="Milwaukee"/>
    <s v="WI"/>
    <n v="99999"/>
    <s v="USA"/>
    <s v="Credit Card"/>
    <x v="7"/>
    <x v="3"/>
    <n v="12.75"/>
    <n v="28"/>
    <x v="172"/>
    <n v="35.700000000000003"/>
  </r>
  <r>
    <n v="1222"/>
    <x v="85"/>
    <n v="28"/>
    <x v="7"/>
    <s v="789 28th Street"/>
    <x v="6"/>
    <x v="6"/>
    <n v="99999"/>
    <s v="USA"/>
    <x v="5"/>
    <x v="3"/>
    <d v="2014-08-30T00:00:00"/>
    <s v="Shipping Company C"/>
    <s v="Amritansh Raghav"/>
    <s v="789 28th Street"/>
    <s v="Memphis"/>
    <s v="TN"/>
    <n v="99999"/>
    <s v="USA"/>
    <s v="Check"/>
    <x v="5"/>
    <x v="0"/>
    <n v="46"/>
    <n v="28"/>
    <x v="173"/>
    <n v="133.952"/>
  </r>
  <r>
    <n v="1223"/>
    <x v="86"/>
    <n v="8"/>
    <x v="3"/>
    <s v="123 8th Street"/>
    <x v="2"/>
    <x v="2"/>
    <n v="99999"/>
    <s v="USA"/>
    <x v="2"/>
    <x v="2"/>
    <d v="2014-08-10T00:00:00"/>
    <s v="Shipping Company C"/>
    <s v="Elizabeth Andersen"/>
    <s v="123 8th Street"/>
    <s v="Portland"/>
    <s v="OR"/>
    <n v="99999"/>
    <s v="USA"/>
    <s v="Check"/>
    <x v="7"/>
    <x v="3"/>
    <n v="12.75"/>
    <n v="57"/>
    <x v="174"/>
    <n v="69.768000000000001"/>
  </r>
  <r>
    <n v="1224"/>
    <x v="87"/>
    <n v="10"/>
    <x v="8"/>
    <s v="123 10th Street"/>
    <x v="7"/>
    <x v="7"/>
    <n v="99999"/>
    <s v="USA"/>
    <x v="6"/>
    <x v="1"/>
    <d v="2014-08-12T00:00:00"/>
    <s v="Shipping Company B"/>
    <s v="Roland Wacker"/>
    <s v="123 10th Street"/>
    <s v="Chicago"/>
    <s v="IL"/>
    <n v="99999"/>
    <s v="USA"/>
    <s v="Credit Card"/>
    <x v="10"/>
    <x v="0"/>
    <n v="2.99"/>
    <n v="23"/>
    <x v="175"/>
    <n v="6.6706899999999996"/>
  </r>
  <r>
    <n v="1225"/>
    <x v="88"/>
    <n v="7"/>
    <x v="9"/>
    <s v="123 7th Street"/>
    <x v="8"/>
    <x v="8"/>
    <n v="99999"/>
    <s v="USA"/>
    <x v="2"/>
    <x v="2"/>
    <m/>
    <m/>
    <s v="Ming-Yang Xie"/>
    <s v="123 7th Street"/>
    <s v="Boise"/>
    <s v="ID"/>
    <n v="99999"/>
    <s v="USA"/>
    <m/>
    <x v="5"/>
    <x v="0"/>
    <n v="46"/>
    <n v="86"/>
    <x v="176"/>
    <n v="399.55599999999998"/>
  </r>
  <r>
    <n v="1226"/>
    <x v="87"/>
    <n v="10"/>
    <x v="8"/>
    <s v="123 10th Street"/>
    <x v="7"/>
    <x v="7"/>
    <n v="99999"/>
    <s v="USA"/>
    <x v="6"/>
    <x v="1"/>
    <d v="2014-08-12T00:00:00"/>
    <s v="Shipping Company A"/>
    <s v="Roland Wacker"/>
    <s v="123 10th Street"/>
    <s v="Chicago"/>
    <s v="IL"/>
    <n v="99999"/>
    <s v="USA"/>
    <m/>
    <x v="11"/>
    <x v="6"/>
    <n v="25"/>
    <n v="47"/>
    <x v="177"/>
    <n v="116.325"/>
  </r>
  <r>
    <n v="1227"/>
    <x v="87"/>
    <n v="10"/>
    <x v="8"/>
    <s v="123 10th Street"/>
    <x v="7"/>
    <x v="7"/>
    <n v="99999"/>
    <s v="USA"/>
    <x v="6"/>
    <x v="1"/>
    <d v="2014-08-12T00:00:00"/>
    <s v="Shipping Company A"/>
    <s v="Roland Wacker"/>
    <s v="123 10th Street"/>
    <s v="Chicago"/>
    <s v="IL"/>
    <n v="99999"/>
    <s v="USA"/>
    <m/>
    <x v="12"/>
    <x v="7"/>
    <n v="22"/>
    <n v="97"/>
    <x v="178"/>
    <n v="221.93600000000001"/>
  </r>
  <r>
    <n v="1228"/>
    <x v="87"/>
    <n v="10"/>
    <x v="8"/>
    <s v="123 10th Street"/>
    <x v="7"/>
    <x v="7"/>
    <n v="99999"/>
    <s v="USA"/>
    <x v="6"/>
    <x v="1"/>
    <d v="2014-08-12T00:00:00"/>
    <s v="Shipping Company A"/>
    <s v="Roland Wacker"/>
    <s v="123 10th Street"/>
    <s v="Chicago"/>
    <s v="IL"/>
    <n v="99999"/>
    <s v="USA"/>
    <m/>
    <x v="6"/>
    <x v="2"/>
    <n v="9.1999999999999993"/>
    <n v="96"/>
    <x v="179"/>
    <n v="86.553600000000003"/>
  </r>
  <r>
    <n v="1229"/>
    <x v="89"/>
    <n v="11"/>
    <x v="10"/>
    <s v="123 11th Street"/>
    <x v="9"/>
    <x v="9"/>
    <n v="99999"/>
    <s v="USA"/>
    <x v="5"/>
    <x v="3"/>
    <m/>
    <s v="Shipping Company C"/>
    <s v="Peter Krschne"/>
    <s v="123 11th Street"/>
    <s v="Miami"/>
    <s v="FL"/>
    <n v="99999"/>
    <s v="USA"/>
    <m/>
    <x v="1"/>
    <x v="1"/>
    <n v="3.5"/>
    <n v="31"/>
    <x v="180"/>
    <n v="10.85"/>
  </r>
  <r>
    <n v="1230"/>
    <x v="89"/>
    <n v="11"/>
    <x v="10"/>
    <s v="123 11th Street"/>
    <x v="9"/>
    <x v="9"/>
    <n v="99999"/>
    <s v="USA"/>
    <x v="5"/>
    <x v="3"/>
    <m/>
    <s v="Shipping Company C"/>
    <s v="Peter Krschne"/>
    <s v="123 11th Street"/>
    <s v="Miami"/>
    <s v="FL"/>
    <n v="99999"/>
    <s v="USA"/>
    <m/>
    <x v="10"/>
    <x v="0"/>
    <n v="2.99"/>
    <n v="52"/>
    <x v="181"/>
    <n v="16.01444"/>
  </r>
  <r>
    <n v="1231"/>
    <x v="90"/>
    <n v="1"/>
    <x v="11"/>
    <s v="123 1st Street"/>
    <x v="10"/>
    <x v="10"/>
    <n v="99999"/>
    <s v="USA"/>
    <x v="2"/>
    <x v="2"/>
    <m/>
    <m/>
    <s v="Anna Bedecs"/>
    <s v="123 1st Street"/>
    <s v="Seattle"/>
    <s v="WA"/>
    <n v="99999"/>
    <s v="USA"/>
    <m/>
    <x v="4"/>
    <x v="0"/>
    <n v="18"/>
    <n v="91"/>
    <x v="182"/>
    <n v="158.886"/>
  </r>
  <r>
    <n v="1232"/>
    <x v="90"/>
    <n v="1"/>
    <x v="11"/>
    <s v="123 1st Street"/>
    <x v="10"/>
    <x v="10"/>
    <n v="99999"/>
    <s v="USA"/>
    <x v="2"/>
    <x v="2"/>
    <m/>
    <m/>
    <s v="Anna Bedecs"/>
    <s v="123 1st Street"/>
    <s v="Seattle"/>
    <s v="WA"/>
    <n v="99999"/>
    <s v="USA"/>
    <m/>
    <x v="5"/>
    <x v="0"/>
    <n v="46"/>
    <n v="14"/>
    <x v="183"/>
    <n v="63.756"/>
  </r>
  <r>
    <n v="1233"/>
    <x v="90"/>
    <n v="1"/>
    <x v="11"/>
    <s v="123 1st Street"/>
    <x v="10"/>
    <x v="10"/>
    <n v="99999"/>
    <s v="USA"/>
    <x v="2"/>
    <x v="2"/>
    <m/>
    <m/>
    <s v="Anna Bedecs"/>
    <s v="123 1st Street"/>
    <s v="Seattle"/>
    <s v="WA"/>
    <n v="99999"/>
    <s v="USA"/>
    <m/>
    <x v="10"/>
    <x v="0"/>
    <n v="2.99"/>
    <n v="44"/>
    <x v="184"/>
    <n v="13.287559999999999"/>
  </r>
  <r>
    <n v="1234"/>
    <x v="85"/>
    <n v="28"/>
    <x v="7"/>
    <s v="789 28th Street"/>
    <x v="6"/>
    <x v="6"/>
    <n v="99999"/>
    <s v="USA"/>
    <x v="5"/>
    <x v="3"/>
    <d v="2014-08-30T00:00:00"/>
    <s v="Shipping Company C"/>
    <s v="Amritansh Raghav"/>
    <s v="789 28th Street"/>
    <s v="Memphis"/>
    <s v="TN"/>
    <n v="99999"/>
    <s v="USA"/>
    <s v="Credit Card"/>
    <x v="8"/>
    <x v="4"/>
    <n v="9.65"/>
    <n v="97"/>
    <x v="53"/>
    <n v="95.477099999999993"/>
  </r>
  <r>
    <n v="1235"/>
    <x v="85"/>
    <n v="28"/>
    <x v="7"/>
    <s v="789 28th Street"/>
    <x v="6"/>
    <x v="6"/>
    <n v="99999"/>
    <s v="USA"/>
    <x v="5"/>
    <x v="3"/>
    <d v="2014-08-30T00:00:00"/>
    <s v="Shipping Company C"/>
    <s v="Amritansh Raghav"/>
    <s v="789 28th Street"/>
    <s v="Memphis"/>
    <s v="TN"/>
    <n v="99999"/>
    <s v="USA"/>
    <s v="Credit Card"/>
    <x v="13"/>
    <x v="8"/>
    <n v="18.399999999999999"/>
    <n v="80"/>
    <x v="36"/>
    <n v="150.14400000000001"/>
  </r>
  <r>
    <n v="1236"/>
    <x v="91"/>
    <n v="9"/>
    <x v="12"/>
    <s v="123 9th Street"/>
    <x v="11"/>
    <x v="11"/>
    <n v="99999"/>
    <s v="USA"/>
    <x v="7"/>
    <x v="0"/>
    <d v="2014-08-11T00:00:00"/>
    <s v="Shipping Company A"/>
    <s v="Sven Mortensen"/>
    <s v="123 9th Street"/>
    <s v="Salt Lake City"/>
    <s v="UT"/>
    <n v="99999"/>
    <s v="USA"/>
    <s v="Check"/>
    <x v="14"/>
    <x v="9"/>
    <n v="19.5"/>
    <n v="66"/>
    <x v="185"/>
    <n v="132.56100000000001"/>
  </r>
  <r>
    <n v="1237"/>
    <x v="91"/>
    <n v="9"/>
    <x v="12"/>
    <s v="123 9th Street"/>
    <x v="11"/>
    <x v="11"/>
    <n v="99999"/>
    <s v="USA"/>
    <x v="7"/>
    <x v="0"/>
    <d v="2014-08-11T00:00:00"/>
    <s v="Shipping Company A"/>
    <s v="Sven Mortensen"/>
    <s v="123 9th Street"/>
    <s v="Salt Lake City"/>
    <s v="UT"/>
    <n v="99999"/>
    <s v="USA"/>
    <s v="Check"/>
    <x v="15"/>
    <x v="10"/>
    <n v="34.799999999999997"/>
    <n v="32"/>
    <x v="186"/>
    <n v="111.36"/>
  </r>
  <r>
    <n v="1238"/>
    <x v="92"/>
    <n v="6"/>
    <x v="6"/>
    <s v="123 6th Street"/>
    <x v="5"/>
    <x v="5"/>
    <n v="99999"/>
    <s v="USA"/>
    <x v="4"/>
    <x v="2"/>
    <d v="2014-08-08T00:00:00"/>
    <s v="Shipping Company B"/>
    <s v="Francisco Pérez-Olaeta"/>
    <s v="123 6th Street"/>
    <s v="Milwaukee"/>
    <s v="WI"/>
    <n v="99999"/>
    <s v="USA"/>
    <s v="Credit Card"/>
    <x v="0"/>
    <x v="0"/>
    <n v="14"/>
    <n v="52"/>
    <x v="187"/>
    <n v="72.8"/>
  </r>
  <r>
    <n v="1239"/>
    <x v="86"/>
    <n v="8"/>
    <x v="3"/>
    <s v="123 8th Street"/>
    <x v="2"/>
    <x v="2"/>
    <n v="99999"/>
    <s v="USA"/>
    <x v="2"/>
    <x v="2"/>
    <d v="2014-08-10T00:00:00"/>
    <s v="Shipping Company B"/>
    <s v="Elizabeth Andersen"/>
    <s v="123 8th Street"/>
    <s v="Portland"/>
    <s v="OR"/>
    <n v="99999"/>
    <s v="USA"/>
    <s v="Check"/>
    <x v="9"/>
    <x v="5"/>
    <n v="40"/>
    <n v="78"/>
    <x v="188"/>
    <n v="318.24"/>
  </r>
  <r>
    <n v="1240"/>
    <x v="86"/>
    <n v="8"/>
    <x v="3"/>
    <s v="123 8th Street"/>
    <x v="2"/>
    <x v="2"/>
    <n v="99999"/>
    <s v="USA"/>
    <x v="2"/>
    <x v="2"/>
    <d v="2014-08-10T00:00:00"/>
    <s v="Shipping Company B"/>
    <s v="Elizabeth Andersen"/>
    <s v="123 8th Street"/>
    <s v="Portland"/>
    <s v="OR"/>
    <n v="99999"/>
    <s v="USA"/>
    <s v="Check"/>
    <x v="6"/>
    <x v="2"/>
    <n v="9.1999999999999993"/>
    <n v="54"/>
    <x v="189"/>
    <n v="49.183199999999999"/>
  </r>
  <r>
    <n v="1241"/>
    <x v="93"/>
    <n v="25"/>
    <x v="13"/>
    <s v="789 25th Street"/>
    <x v="7"/>
    <x v="7"/>
    <n v="99999"/>
    <s v="USA"/>
    <x v="6"/>
    <x v="1"/>
    <d v="2014-08-27T00:00:00"/>
    <s v="Shipping Company A"/>
    <s v="John Rodman"/>
    <s v="789 25th Street"/>
    <s v="Chicago"/>
    <s v="IL"/>
    <n v="99999"/>
    <s v="USA"/>
    <s v="Cash"/>
    <x v="21"/>
    <x v="2"/>
    <n v="10"/>
    <n v="55"/>
    <x v="62"/>
    <n v="52.25"/>
  </r>
  <r>
    <n v="1242"/>
    <x v="94"/>
    <n v="26"/>
    <x v="14"/>
    <s v="789 26th Street"/>
    <x v="9"/>
    <x v="9"/>
    <n v="99999"/>
    <s v="USA"/>
    <x v="5"/>
    <x v="3"/>
    <d v="2014-08-28T00:00:00"/>
    <s v="Shipping Company C"/>
    <s v="Run Liu"/>
    <s v="789 26th Street"/>
    <s v="Miami"/>
    <s v="FL"/>
    <n v="99999"/>
    <s v="USA"/>
    <s v="Credit Card"/>
    <x v="22"/>
    <x v="13"/>
    <n v="21.35"/>
    <n v="60"/>
    <x v="190"/>
    <n v="129.381"/>
  </r>
  <r>
    <n v="1243"/>
    <x v="94"/>
    <n v="26"/>
    <x v="14"/>
    <s v="789 26th Street"/>
    <x v="9"/>
    <x v="9"/>
    <n v="99999"/>
    <s v="USA"/>
    <x v="5"/>
    <x v="3"/>
    <d v="2014-08-28T00:00:00"/>
    <s v="Shipping Company C"/>
    <s v="Run Liu"/>
    <s v="789 26th Street"/>
    <s v="Miami"/>
    <s v="FL"/>
    <n v="99999"/>
    <s v="USA"/>
    <s v="Credit Card"/>
    <x v="8"/>
    <x v="4"/>
    <n v="9.65"/>
    <n v="19"/>
    <x v="191"/>
    <n v="17.41825"/>
  </r>
  <r>
    <n v="1244"/>
    <x v="94"/>
    <n v="26"/>
    <x v="14"/>
    <s v="789 26th Street"/>
    <x v="9"/>
    <x v="9"/>
    <n v="99999"/>
    <s v="USA"/>
    <x v="5"/>
    <x v="3"/>
    <d v="2014-08-28T00:00:00"/>
    <s v="Shipping Company C"/>
    <s v="Run Liu"/>
    <s v="789 26th Street"/>
    <s v="Miami"/>
    <s v="FL"/>
    <n v="99999"/>
    <s v="USA"/>
    <s v="Credit Card"/>
    <x v="13"/>
    <x v="8"/>
    <n v="18.399999999999999"/>
    <n v="66"/>
    <x v="192"/>
    <n v="125.08320000000001"/>
  </r>
  <r>
    <n v="1245"/>
    <x v="95"/>
    <n v="29"/>
    <x v="4"/>
    <s v="789 29th Street"/>
    <x v="3"/>
    <x v="3"/>
    <n v="99999"/>
    <s v="USA"/>
    <x v="3"/>
    <x v="0"/>
    <d v="2014-08-31T00:00:00"/>
    <s v="Shipping Company B"/>
    <s v="Soo Jung Lee"/>
    <s v="789 29th Street"/>
    <s v="Denver"/>
    <s v="CO"/>
    <n v="99999"/>
    <s v="USA"/>
    <s v="Check"/>
    <x v="0"/>
    <x v="0"/>
    <n v="14"/>
    <n v="42"/>
    <x v="193"/>
    <n v="59.387999999999998"/>
  </r>
  <r>
    <n v="1246"/>
    <x v="92"/>
    <n v="6"/>
    <x v="6"/>
    <s v="123 6th Street"/>
    <x v="5"/>
    <x v="5"/>
    <n v="99999"/>
    <s v="USA"/>
    <x v="4"/>
    <x v="2"/>
    <n v="41859"/>
    <s v="Shipping Company C"/>
    <s v="Francisco Pérez-Olaeta"/>
    <s v="123 6th Street"/>
    <s v="Milwaukee"/>
    <s v="WI"/>
    <n v="99999"/>
    <s v="USA"/>
    <s v="Check"/>
    <x v="7"/>
    <x v="3"/>
    <n v="12.75"/>
    <n v="72"/>
    <x v="194"/>
    <n v="89.046000000000006"/>
  </r>
  <r>
    <n v="1248"/>
    <x v="96"/>
    <n v="4"/>
    <x v="1"/>
    <s v="123 4th Street"/>
    <x v="1"/>
    <x v="1"/>
    <n v="99999"/>
    <s v="USA"/>
    <x v="1"/>
    <x v="1"/>
    <n v="41857"/>
    <s v="Shipping Company A"/>
    <s v="Christina Lee"/>
    <s v="123 4th Street"/>
    <s v="New York"/>
    <s v="NY"/>
    <n v="99999"/>
    <s v="USA"/>
    <s v="Credit Card"/>
    <x v="23"/>
    <x v="6"/>
    <n v="81"/>
    <n v="32"/>
    <x v="195"/>
    <n v="251.42400000000001"/>
  </r>
  <r>
    <n v="1249"/>
    <x v="96"/>
    <n v="4"/>
    <x v="1"/>
    <s v="123 4th Street"/>
    <x v="1"/>
    <x v="1"/>
    <n v="99999"/>
    <s v="USA"/>
    <x v="1"/>
    <x v="1"/>
    <n v="41857"/>
    <s v="Shipping Company A"/>
    <s v="Christina Lee"/>
    <s v="123 4th Street"/>
    <s v="New York"/>
    <s v="NY"/>
    <n v="99999"/>
    <s v="USA"/>
    <s v="Credit Card"/>
    <x v="24"/>
    <x v="14"/>
    <n v="7"/>
    <n v="76"/>
    <x v="196"/>
    <n v="53.731999999999999"/>
  </r>
  <r>
    <n v="1250"/>
    <x v="97"/>
    <n v="10"/>
    <x v="8"/>
    <s v="123 10th Street"/>
    <x v="7"/>
    <x v="7"/>
    <n v="99999"/>
    <s v="USA"/>
    <x v="6"/>
    <x v="1"/>
    <n v="41894"/>
    <s v="Shipping Company A"/>
    <s v="Roland Wacker"/>
    <s v="123 10th Street"/>
    <s v="Chicago"/>
    <s v="IL"/>
    <n v="99999"/>
    <s v="USA"/>
    <m/>
    <x v="6"/>
    <x v="2"/>
    <n v="9.1999999999999993"/>
    <n v="83"/>
    <x v="197"/>
    <n v="74.832800000000006"/>
  </r>
  <r>
    <n v="1251"/>
    <x v="98"/>
    <n v="11"/>
    <x v="10"/>
    <s v="123 11th Street"/>
    <x v="9"/>
    <x v="9"/>
    <n v="99999"/>
    <s v="USA"/>
    <x v="5"/>
    <x v="3"/>
    <m/>
    <s v="Shipping Company C"/>
    <s v="Peter Krschne"/>
    <s v="123 11th Street"/>
    <s v="Miami"/>
    <s v="FL"/>
    <n v="99999"/>
    <s v="USA"/>
    <m/>
    <x v="1"/>
    <x v="1"/>
    <n v="3.5"/>
    <n v="91"/>
    <x v="198"/>
    <n v="31.213000000000001"/>
  </r>
  <r>
    <n v="1252"/>
    <x v="98"/>
    <n v="11"/>
    <x v="10"/>
    <s v="123 11th Street"/>
    <x v="9"/>
    <x v="9"/>
    <n v="99999"/>
    <s v="USA"/>
    <x v="5"/>
    <x v="3"/>
    <m/>
    <s v="Shipping Company C"/>
    <s v="Peter Krschne"/>
    <s v="123 11th Street"/>
    <s v="Miami"/>
    <s v="FL"/>
    <n v="99999"/>
    <s v="USA"/>
    <m/>
    <x v="10"/>
    <x v="0"/>
    <n v="2.99"/>
    <n v="64"/>
    <x v="199"/>
    <n v="19.518719999999998"/>
  </r>
  <r>
    <n v="1253"/>
    <x v="99"/>
    <n v="1"/>
    <x v="11"/>
    <s v="123 1st Street"/>
    <x v="10"/>
    <x v="10"/>
    <n v="99999"/>
    <s v="USA"/>
    <x v="2"/>
    <x v="2"/>
    <m/>
    <m/>
    <s v="Anna Bedecs"/>
    <s v="123 1st Street"/>
    <s v="Seattle"/>
    <s v="WA"/>
    <n v="99999"/>
    <s v="USA"/>
    <m/>
    <x v="4"/>
    <x v="0"/>
    <n v="18"/>
    <n v="58"/>
    <x v="136"/>
    <n v="103.35599999999999"/>
  </r>
  <r>
    <n v="1254"/>
    <x v="99"/>
    <n v="1"/>
    <x v="11"/>
    <s v="123 1st Street"/>
    <x v="10"/>
    <x v="10"/>
    <n v="99999"/>
    <s v="USA"/>
    <x v="2"/>
    <x v="2"/>
    <m/>
    <m/>
    <s v="Anna Bedecs"/>
    <s v="123 1st Street"/>
    <s v="Seattle"/>
    <s v="WA"/>
    <n v="99999"/>
    <s v="USA"/>
    <m/>
    <x v="5"/>
    <x v="0"/>
    <n v="46"/>
    <n v="97"/>
    <x v="200"/>
    <n v="464.048"/>
  </r>
  <r>
    <n v="1255"/>
    <x v="99"/>
    <n v="1"/>
    <x v="11"/>
    <s v="123 1st Street"/>
    <x v="10"/>
    <x v="10"/>
    <n v="99999"/>
    <s v="USA"/>
    <x v="2"/>
    <x v="2"/>
    <m/>
    <m/>
    <s v="Anna Bedecs"/>
    <s v="123 1st Street"/>
    <s v="Seattle"/>
    <s v="WA"/>
    <n v="99999"/>
    <s v="USA"/>
    <m/>
    <x v="10"/>
    <x v="0"/>
    <n v="2.99"/>
    <n v="14"/>
    <x v="201"/>
    <n v="4.35344"/>
  </r>
  <r>
    <n v="1256"/>
    <x v="100"/>
    <n v="28"/>
    <x v="7"/>
    <s v="789 28th Street"/>
    <x v="6"/>
    <x v="6"/>
    <n v="99999"/>
    <s v="USA"/>
    <x v="5"/>
    <x v="3"/>
    <d v="2014-09-30T00:00:00"/>
    <s v="Shipping Company C"/>
    <s v="Amritansh Raghav"/>
    <s v="789 28th Street"/>
    <s v="Memphis"/>
    <s v="TN"/>
    <n v="99999"/>
    <s v="USA"/>
    <s v="Credit Card"/>
    <x v="8"/>
    <x v="4"/>
    <n v="9.65"/>
    <n v="68"/>
    <x v="202"/>
    <n v="64.307599999999994"/>
  </r>
  <r>
    <n v="1257"/>
    <x v="100"/>
    <n v="28"/>
    <x v="7"/>
    <s v="789 28th Street"/>
    <x v="6"/>
    <x v="6"/>
    <n v="99999"/>
    <s v="USA"/>
    <x v="5"/>
    <x v="3"/>
    <n v="41912"/>
    <s v="Shipping Company C"/>
    <s v="Amritansh Raghav"/>
    <s v="789 28th Street"/>
    <s v="Memphis"/>
    <s v="TN"/>
    <n v="99999"/>
    <s v="USA"/>
    <s v="Credit Card"/>
    <x v="13"/>
    <x v="8"/>
    <n v="18.399999999999999"/>
    <n v="32"/>
    <x v="203"/>
    <n v="58.88"/>
  </r>
  <r>
    <n v="1258"/>
    <x v="101"/>
    <n v="9"/>
    <x v="12"/>
    <s v="123 9th Street"/>
    <x v="11"/>
    <x v="11"/>
    <n v="99999"/>
    <s v="USA"/>
    <x v="7"/>
    <x v="0"/>
    <d v="2014-09-11T00:00:00"/>
    <s v="Shipping Company A"/>
    <s v="Sven Mortensen"/>
    <s v="123 9th Street"/>
    <s v="Salt Lake City"/>
    <s v="UT"/>
    <n v="99999"/>
    <s v="USA"/>
    <s v="Check"/>
    <x v="14"/>
    <x v="9"/>
    <n v="19.5"/>
    <n v="48"/>
    <x v="204"/>
    <n v="94.536000000000001"/>
  </r>
  <r>
    <n v="1259"/>
    <x v="101"/>
    <n v="9"/>
    <x v="12"/>
    <s v="123 9th Street"/>
    <x v="11"/>
    <x v="11"/>
    <n v="99999"/>
    <s v="USA"/>
    <x v="7"/>
    <x v="0"/>
    <d v="2014-09-11T00:00:00"/>
    <s v="Shipping Company A"/>
    <s v="Sven Mortensen"/>
    <s v="123 9th Street"/>
    <s v="Salt Lake City"/>
    <s v="UT"/>
    <n v="99999"/>
    <s v="USA"/>
    <s v="Check"/>
    <x v="15"/>
    <x v="10"/>
    <n v="34.799999999999997"/>
    <n v="57"/>
    <x v="205"/>
    <n v="194.39279999999999"/>
  </r>
  <r>
    <n v="1260"/>
    <x v="102"/>
    <n v="6"/>
    <x v="6"/>
    <s v="123 6th Street"/>
    <x v="5"/>
    <x v="5"/>
    <n v="99999"/>
    <s v="USA"/>
    <x v="4"/>
    <x v="2"/>
    <d v="2014-09-08T00:00:00"/>
    <s v="Shipping Company B"/>
    <s v="Francisco Pérez-Olaeta"/>
    <s v="123 6th Street"/>
    <s v="Milwaukee"/>
    <s v="WI"/>
    <n v="99999"/>
    <s v="USA"/>
    <s v="Credit Card"/>
    <x v="0"/>
    <x v="0"/>
    <n v="14"/>
    <n v="67"/>
    <x v="206"/>
    <n v="98.49"/>
  </r>
  <r>
    <n v="1261"/>
    <x v="103"/>
    <n v="8"/>
    <x v="3"/>
    <s v="123 8th Street"/>
    <x v="2"/>
    <x v="2"/>
    <n v="99999"/>
    <s v="USA"/>
    <x v="2"/>
    <x v="2"/>
    <n v="41892"/>
    <s v="Shipping Company B"/>
    <s v="Elizabeth Andersen"/>
    <s v="123 8th Street"/>
    <s v="Portland"/>
    <s v="OR"/>
    <n v="99999"/>
    <s v="USA"/>
    <s v="Check"/>
    <x v="9"/>
    <x v="5"/>
    <n v="40"/>
    <n v="48"/>
    <x v="207"/>
    <n v="188.16"/>
  </r>
  <r>
    <n v="1262"/>
    <x v="103"/>
    <n v="8"/>
    <x v="3"/>
    <s v="123 8th Street"/>
    <x v="2"/>
    <x v="2"/>
    <n v="99999"/>
    <s v="USA"/>
    <x v="2"/>
    <x v="2"/>
    <n v="41892"/>
    <s v="Shipping Company B"/>
    <s v="Elizabeth Andersen"/>
    <s v="123 8th Street"/>
    <s v="Portland"/>
    <s v="OR"/>
    <n v="99999"/>
    <s v="USA"/>
    <s v="Check"/>
    <x v="6"/>
    <x v="2"/>
    <n v="9.1999999999999993"/>
    <n v="77"/>
    <x v="208"/>
    <n v="72.256799999999998"/>
  </r>
  <r>
    <n v="1263"/>
    <x v="104"/>
    <n v="25"/>
    <x v="13"/>
    <s v="789 25th Street"/>
    <x v="7"/>
    <x v="7"/>
    <n v="99999"/>
    <s v="USA"/>
    <x v="6"/>
    <x v="1"/>
    <n v="41909"/>
    <s v="Shipping Company A"/>
    <s v="John Rodman"/>
    <s v="789 25th Street"/>
    <s v="Chicago"/>
    <s v="IL"/>
    <n v="99999"/>
    <s v="USA"/>
    <s v="Cash"/>
    <x v="21"/>
    <x v="2"/>
    <n v="10"/>
    <n v="94"/>
    <x v="209"/>
    <n v="97.76"/>
  </r>
  <r>
    <n v="1264"/>
    <x v="105"/>
    <n v="26"/>
    <x v="14"/>
    <s v="789 26th Street"/>
    <x v="9"/>
    <x v="9"/>
    <n v="99999"/>
    <s v="USA"/>
    <x v="5"/>
    <x v="3"/>
    <n v="41910"/>
    <s v="Shipping Company C"/>
    <s v="Run Liu"/>
    <s v="789 26th Street"/>
    <s v="Miami"/>
    <s v="FL"/>
    <n v="99999"/>
    <s v="USA"/>
    <s v="Credit Card"/>
    <x v="22"/>
    <x v="13"/>
    <n v="21.35"/>
    <n v="54"/>
    <x v="210"/>
    <n v="121.0545"/>
  </r>
  <r>
    <n v="1265"/>
    <x v="105"/>
    <n v="26"/>
    <x v="14"/>
    <s v="789 26th Street"/>
    <x v="9"/>
    <x v="9"/>
    <n v="99999"/>
    <s v="USA"/>
    <x v="5"/>
    <x v="3"/>
    <n v="41910"/>
    <s v="Shipping Company C"/>
    <s v="Run Liu"/>
    <s v="789 26th Street"/>
    <s v="Miami"/>
    <s v="FL"/>
    <n v="99999"/>
    <s v="USA"/>
    <s v="Credit Card"/>
    <x v="8"/>
    <x v="4"/>
    <n v="9.65"/>
    <n v="43"/>
    <x v="84"/>
    <n v="40.250149999999998"/>
  </r>
  <r>
    <n v="1266"/>
    <x v="105"/>
    <n v="26"/>
    <x v="14"/>
    <s v="789 26th Street"/>
    <x v="9"/>
    <x v="9"/>
    <n v="99999"/>
    <s v="USA"/>
    <x v="5"/>
    <x v="3"/>
    <d v="2014-09-28T00:00:00"/>
    <s v="Shipping Company C"/>
    <s v="Run Liu"/>
    <s v="789 26th Street"/>
    <s v="Miami"/>
    <s v="FL"/>
    <n v="99999"/>
    <s v="USA"/>
    <s v="Credit Card"/>
    <x v="13"/>
    <x v="8"/>
    <n v="18.399999999999999"/>
    <n v="71"/>
    <x v="142"/>
    <n v="134.5592"/>
  </r>
  <r>
    <n v="1267"/>
    <x v="106"/>
    <n v="29"/>
    <x v="4"/>
    <s v="789 29th Street"/>
    <x v="3"/>
    <x v="3"/>
    <n v="99999"/>
    <s v="USA"/>
    <x v="3"/>
    <x v="0"/>
    <d v="2014-10-01T00:00:00"/>
    <s v="Shipping Company B"/>
    <s v="Soo Jung Lee"/>
    <s v="789 29th Street"/>
    <s v="Denver"/>
    <s v="CO"/>
    <n v="99999"/>
    <s v="USA"/>
    <s v="Check"/>
    <x v="0"/>
    <x v="0"/>
    <n v="14"/>
    <n v="50"/>
    <x v="211"/>
    <n v="67.2"/>
  </r>
  <r>
    <n v="1268"/>
    <x v="102"/>
    <n v="6"/>
    <x v="6"/>
    <s v="123 6th Street"/>
    <x v="5"/>
    <x v="5"/>
    <n v="99999"/>
    <s v="USA"/>
    <x v="4"/>
    <x v="2"/>
    <d v="2014-09-08T00:00:00"/>
    <s v="Shipping Company C"/>
    <s v="Francisco Pérez-Olaeta"/>
    <s v="123 6th Street"/>
    <s v="Milwaukee"/>
    <s v="WI"/>
    <n v="99999"/>
    <s v="USA"/>
    <s v="Check"/>
    <x v="7"/>
    <x v="3"/>
    <n v="12.75"/>
    <n v="96"/>
    <x v="145"/>
    <n v="119.952"/>
  </r>
  <r>
    <n v="1270"/>
    <x v="107"/>
    <n v="4"/>
    <x v="1"/>
    <s v="123 4th Street"/>
    <x v="1"/>
    <x v="1"/>
    <n v="99999"/>
    <s v="USA"/>
    <x v="1"/>
    <x v="1"/>
    <d v="2014-09-06T00:00:00"/>
    <s v="Shipping Company A"/>
    <s v="Christina Lee"/>
    <s v="123 4th Street"/>
    <s v="New York"/>
    <s v="NY"/>
    <n v="99999"/>
    <s v="USA"/>
    <s v="Credit Card"/>
    <x v="23"/>
    <x v="6"/>
    <n v="81"/>
    <n v="54"/>
    <x v="212"/>
    <n v="437.4"/>
  </r>
  <r>
    <n v="1271"/>
    <x v="107"/>
    <n v="4"/>
    <x v="1"/>
    <s v="123 4th Street"/>
    <x v="1"/>
    <x v="1"/>
    <n v="99999"/>
    <s v="USA"/>
    <x v="1"/>
    <x v="1"/>
    <d v="2014-09-06T00:00:00"/>
    <s v="Shipping Company A"/>
    <s v="Christina Lee"/>
    <s v="123 4th Street"/>
    <s v="New York"/>
    <s v="NY"/>
    <n v="99999"/>
    <s v="USA"/>
    <s v="Credit Card"/>
    <x v="24"/>
    <x v="14"/>
    <n v="7"/>
    <n v="39"/>
    <x v="213"/>
    <n v="27.3"/>
  </r>
  <r>
    <n v="1273"/>
    <x v="103"/>
    <n v="8"/>
    <x v="3"/>
    <s v="123 8th Street"/>
    <x v="2"/>
    <x v="2"/>
    <n v="99999"/>
    <s v="USA"/>
    <x v="2"/>
    <x v="2"/>
    <d v="2014-09-10T00:00:00"/>
    <s v="Shipping Company C"/>
    <s v="Elizabeth Andersen"/>
    <s v="123 8th Street"/>
    <s v="Portland"/>
    <s v="OR"/>
    <n v="99999"/>
    <s v="USA"/>
    <s v="Credit Card"/>
    <x v="15"/>
    <x v="10"/>
    <n v="34.799999999999997"/>
    <n v="63"/>
    <x v="59"/>
    <n v="230.202"/>
  </r>
  <r>
    <n v="1276"/>
    <x v="108"/>
    <n v="3"/>
    <x v="5"/>
    <s v="123 3rd Street"/>
    <x v="4"/>
    <x v="4"/>
    <n v="99999"/>
    <s v="USA"/>
    <x v="0"/>
    <x v="0"/>
    <d v="2014-09-05T00:00:00"/>
    <s v="Shipping Company B"/>
    <s v="Thomas Axerr"/>
    <s v="123 3rd Street"/>
    <s v="Los Angelas"/>
    <s v="CA"/>
    <n v="99999"/>
    <s v="USA"/>
    <s v="Cash"/>
    <x v="16"/>
    <x v="7"/>
    <n v="10"/>
    <n v="71"/>
    <x v="214"/>
    <n v="73.13"/>
  </r>
  <r>
    <n v="1277"/>
    <x v="108"/>
    <n v="3"/>
    <x v="5"/>
    <s v="123 3rd Street"/>
    <x v="4"/>
    <x v="4"/>
    <n v="99999"/>
    <s v="USA"/>
    <x v="0"/>
    <x v="0"/>
    <d v="2014-09-05T00:00:00"/>
    <s v="Shipping Company B"/>
    <s v="Thomas Axerr"/>
    <s v="123 3rd Street"/>
    <s v="Los Angelas"/>
    <s v="CA"/>
    <n v="99999"/>
    <s v="USA"/>
    <s v="Cash"/>
    <x v="9"/>
    <x v="5"/>
    <n v="40"/>
    <n v="88"/>
    <x v="215"/>
    <n v="366.08"/>
  </r>
  <r>
    <n v="1281"/>
    <x v="97"/>
    <n v="10"/>
    <x v="8"/>
    <s v="123 10th Street"/>
    <x v="7"/>
    <x v="7"/>
    <n v="99999"/>
    <s v="USA"/>
    <x v="6"/>
    <x v="1"/>
    <d v="2014-09-12T00:00:00"/>
    <s v="Shipping Company B"/>
    <s v="Roland Wacker"/>
    <s v="123 10th Street"/>
    <s v="Chicago"/>
    <s v="IL"/>
    <n v="99999"/>
    <s v="USA"/>
    <s v="Credit Card"/>
    <x v="18"/>
    <x v="1"/>
    <n v="10"/>
    <n v="59"/>
    <x v="216"/>
    <n v="59.59"/>
  </r>
  <r>
    <n v="1282"/>
    <x v="109"/>
    <n v="6"/>
    <x v="6"/>
    <s v="123 6th Street"/>
    <x v="5"/>
    <x v="5"/>
    <n v="99999"/>
    <s v="USA"/>
    <x v="4"/>
    <x v="2"/>
    <d v="2014-10-08T00:00:00"/>
    <s v="Shipping Company B"/>
    <s v="Francisco Pérez-Olaeta"/>
    <s v="123 6th Street"/>
    <s v="Milwaukee"/>
    <s v="WI"/>
    <n v="99999"/>
    <s v="USA"/>
    <s v="Credit Card"/>
    <x v="9"/>
    <x v="5"/>
    <n v="40"/>
    <n v="94"/>
    <x v="217"/>
    <n v="376"/>
  </r>
  <r>
    <n v="1283"/>
    <x v="110"/>
    <n v="28"/>
    <x v="7"/>
    <s v="789 28th Street"/>
    <x v="6"/>
    <x v="6"/>
    <n v="99999"/>
    <s v="USA"/>
    <x v="5"/>
    <x v="3"/>
    <d v="2014-10-30T00:00:00"/>
    <s v="Shipping Company C"/>
    <s v="Amritansh Raghav"/>
    <s v="789 28th Street"/>
    <s v="Memphis"/>
    <s v="TN"/>
    <n v="99999"/>
    <s v="USA"/>
    <s v="Check"/>
    <x v="5"/>
    <x v="0"/>
    <n v="46"/>
    <n v="86"/>
    <x v="176"/>
    <n v="379.77600000000001"/>
  </r>
  <r>
    <n v="1284"/>
    <x v="111"/>
    <n v="8"/>
    <x v="3"/>
    <s v="123 8th Street"/>
    <x v="2"/>
    <x v="2"/>
    <n v="99999"/>
    <s v="USA"/>
    <x v="2"/>
    <x v="2"/>
    <d v="2014-10-10T00:00:00"/>
    <s v="Shipping Company C"/>
    <s v="Elizabeth Andersen"/>
    <s v="123 8th Street"/>
    <s v="Portland"/>
    <s v="OR"/>
    <n v="99999"/>
    <s v="USA"/>
    <s v="Check"/>
    <x v="7"/>
    <x v="3"/>
    <n v="12.75"/>
    <n v="61"/>
    <x v="218"/>
    <n v="78.552750000000003"/>
  </r>
  <r>
    <n v="1285"/>
    <x v="112"/>
    <n v="10"/>
    <x v="8"/>
    <s v="123 10th Street"/>
    <x v="7"/>
    <x v="7"/>
    <n v="99999"/>
    <s v="USA"/>
    <x v="6"/>
    <x v="1"/>
    <d v="2014-10-12T00:00:00"/>
    <s v="Shipping Company B"/>
    <s v="Roland Wacker"/>
    <s v="123 10th Street"/>
    <s v="Chicago"/>
    <s v="IL"/>
    <n v="99999"/>
    <s v="USA"/>
    <s v="Credit Card"/>
    <x v="10"/>
    <x v="0"/>
    <n v="2.99"/>
    <n v="32"/>
    <x v="219"/>
    <n v="9.7593599999999991"/>
  </r>
  <r>
    <n v="1286"/>
    <x v="113"/>
    <n v="7"/>
    <x v="9"/>
    <s v="123 7th Street"/>
    <x v="8"/>
    <x v="8"/>
    <n v="99999"/>
    <s v="USA"/>
    <x v="2"/>
    <x v="2"/>
    <m/>
    <m/>
    <s v="Ming-Yang Xie"/>
    <s v="123 7th Street"/>
    <s v="Boise"/>
    <s v="ID"/>
    <n v="99999"/>
    <s v="USA"/>
    <m/>
    <x v="5"/>
    <x v="0"/>
    <n v="46"/>
    <n v="62"/>
    <x v="220"/>
    <n v="290.904"/>
  </r>
  <r>
    <n v="1287"/>
    <x v="112"/>
    <n v="10"/>
    <x v="8"/>
    <s v="123 10th Street"/>
    <x v="7"/>
    <x v="7"/>
    <n v="99999"/>
    <s v="USA"/>
    <x v="6"/>
    <x v="1"/>
    <d v="2014-10-12T00:00:00"/>
    <s v="Shipping Company A"/>
    <s v="Roland Wacker"/>
    <s v="123 10th Street"/>
    <s v="Chicago"/>
    <s v="IL"/>
    <n v="99999"/>
    <s v="USA"/>
    <m/>
    <x v="11"/>
    <x v="6"/>
    <n v="25"/>
    <n v="60"/>
    <x v="221"/>
    <n v="154.5"/>
  </r>
  <r>
    <n v="1288"/>
    <x v="112"/>
    <n v="10"/>
    <x v="8"/>
    <s v="123 10th Street"/>
    <x v="7"/>
    <x v="7"/>
    <n v="99999"/>
    <s v="USA"/>
    <x v="6"/>
    <x v="1"/>
    <d v="2014-10-12T00:00:00"/>
    <s v="Shipping Company A"/>
    <s v="Roland Wacker"/>
    <s v="123 10th Street"/>
    <s v="Chicago"/>
    <s v="IL"/>
    <n v="99999"/>
    <s v="USA"/>
    <m/>
    <x v="12"/>
    <x v="7"/>
    <n v="22"/>
    <n v="51"/>
    <x v="222"/>
    <n v="109.956"/>
  </r>
  <r>
    <n v="1289"/>
    <x v="112"/>
    <n v="10"/>
    <x v="8"/>
    <s v="123 10th Street"/>
    <x v="7"/>
    <x v="7"/>
    <n v="99999"/>
    <s v="USA"/>
    <x v="6"/>
    <x v="1"/>
    <d v="2014-10-12T00:00:00"/>
    <s v="Shipping Company A"/>
    <s v="Roland Wacker"/>
    <s v="123 10th Street"/>
    <s v="Chicago"/>
    <s v="IL"/>
    <n v="99999"/>
    <s v="USA"/>
    <m/>
    <x v="6"/>
    <x v="2"/>
    <n v="9.1999999999999993"/>
    <n v="49"/>
    <x v="223"/>
    <n v="44.629199999999997"/>
  </r>
  <r>
    <n v="1290"/>
    <x v="114"/>
    <n v="11"/>
    <x v="10"/>
    <s v="123 11th Street"/>
    <x v="9"/>
    <x v="9"/>
    <n v="99999"/>
    <s v="USA"/>
    <x v="5"/>
    <x v="3"/>
    <m/>
    <s v="Shipping Company C"/>
    <s v="Peter Krschne"/>
    <s v="123 11th Street"/>
    <s v="Miami"/>
    <s v="FL"/>
    <n v="99999"/>
    <s v="USA"/>
    <m/>
    <x v="1"/>
    <x v="1"/>
    <n v="3.5"/>
    <n v="20"/>
    <x v="224"/>
    <n v="6.93"/>
  </r>
  <r>
    <n v="1291"/>
    <x v="114"/>
    <n v="11"/>
    <x v="10"/>
    <s v="123 11th Street"/>
    <x v="9"/>
    <x v="9"/>
    <n v="99999"/>
    <s v="USA"/>
    <x v="5"/>
    <x v="3"/>
    <m/>
    <s v="Shipping Company C"/>
    <s v="Peter Krschne"/>
    <s v="123 11th Street"/>
    <s v="Miami"/>
    <s v="FL"/>
    <n v="99999"/>
    <s v="USA"/>
    <m/>
    <x v="10"/>
    <x v="0"/>
    <n v="2.99"/>
    <n v="49"/>
    <x v="20"/>
    <n v="14.651"/>
  </r>
  <r>
    <n v="1292"/>
    <x v="115"/>
    <n v="1"/>
    <x v="11"/>
    <s v="123 1st Street"/>
    <x v="10"/>
    <x v="10"/>
    <n v="99999"/>
    <s v="USA"/>
    <x v="2"/>
    <x v="2"/>
    <m/>
    <m/>
    <s v="Anna Bedecs"/>
    <s v="123 1st Street"/>
    <s v="Seattle"/>
    <s v="WA"/>
    <n v="99999"/>
    <s v="USA"/>
    <m/>
    <x v="4"/>
    <x v="0"/>
    <n v="18"/>
    <n v="22"/>
    <x v="225"/>
    <n v="38.015999999999998"/>
  </r>
  <r>
    <n v="1293"/>
    <x v="115"/>
    <n v="1"/>
    <x v="11"/>
    <s v="123 1st Street"/>
    <x v="10"/>
    <x v="10"/>
    <n v="99999"/>
    <s v="USA"/>
    <x v="2"/>
    <x v="2"/>
    <m/>
    <m/>
    <s v="Anna Bedecs"/>
    <s v="123 1st Street"/>
    <s v="Seattle"/>
    <s v="WA"/>
    <n v="99999"/>
    <s v="USA"/>
    <m/>
    <x v="5"/>
    <x v="0"/>
    <n v="46"/>
    <n v="73"/>
    <x v="226"/>
    <n v="339.15800000000002"/>
  </r>
  <r>
    <n v="1294"/>
    <x v="115"/>
    <n v="1"/>
    <x v="11"/>
    <s v="123 1st Street"/>
    <x v="10"/>
    <x v="10"/>
    <n v="99999"/>
    <s v="USA"/>
    <x v="2"/>
    <x v="2"/>
    <m/>
    <m/>
    <s v="Anna Bedecs"/>
    <s v="123 1st Street"/>
    <s v="Seattle"/>
    <s v="WA"/>
    <n v="99999"/>
    <s v="USA"/>
    <m/>
    <x v="10"/>
    <x v="0"/>
    <n v="2.99"/>
    <n v="85"/>
    <x v="227"/>
    <n v="24.652550000000002"/>
  </r>
  <r>
    <n v="1295"/>
    <x v="110"/>
    <n v="28"/>
    <x v="7"/>
    <s v="789 28th Street"/>
    <x v="6"/>
    <x v="6"/>
    <n v="99999"/>
    <s v="USA"/>
    <x v="5"/>
    <x v="3"/>
    <d v="2014-10-30T00:00:00"/>
    <s v="Shipping Company C"/>
    <s v="Amritansh Raghav"/>
    <s v="789 28th Street"/>
    <s v="Memphis"/>
    <s v="TN"/>
    <n v="99999"/>
    <s v="USA"/>
    <s v="Credit Card"/>
    <x v="8"/>
    <x v="4"/>
    <n v="9.65"/>
    <n v="44"/>
    <x v="228"/>
    <n v="44.1584"/>
  </r>
  <r>
    <n v="1296"/>
    <x v="110"/>
    <n v="28"/>
    <x v="7"/>
    <s v="789 28th Street"/>
    <x v="6"/>
    <x v="6"/>
    <n v="99999"/>
    <s v="USA"/>
    <x v="5"/>
    <x v="3"/>
    <d v="2014-10-30T00:00:00"/>
    <s v="Shipping Company C"/>
    <s v="Amritansh Raghav"/>
    <s v="789 28th Street"/>
    <s v="Memphis"/>
    <s v="TN"/>
    <n v="99999"/>
    <s v="USA"/>
    <s v="Credit Card"/>
    <x v="13"/>
    <x v="8"/>
    <n v="18.399999999999999"/>
    <n v="24"/>
    <x v="229"/>
    <n v="42.8352"/>
  </r>
  <r>
    <n v="1297"/>
    <x v="116"/>
    <n v="9"/>
    <x v="12"/>
    <s v="123 9th Street"/>
    <x v="11"/>
    <x v="11"/>
    <n v="99999"/>
    <s v="USA"/>
    <x v="7"/>
    <x v="0"/>
    <d v="2014-10-11T00:00:00"/>
    <s v="Shipping Company A"/>
    <s v="Sven Mortensen"/>
    <s v="123 9th Street"/>
    <s v="Salt Lake City"/>
    <s v="UT"/>
    <n v="99999"/>
    <s v="USA"/>
    <s v="Check"/>
    <x v="14"/>
    <x v="9"/>
    <n v="19.5"/>
    <n v="64"/>
    <x v="230"/>
    <n v="119.80800000000001"/>
  </r>
  <r>
    <n v="1298"/>
    <x v="116"/>
    <n v="9"/>
    <x v="12"/>
    <s v="123 9th Street"/>
    <x v="11"/>
    <x v="11"/>
    <n v="99999"/>
    <s v="USA"/>
    <x v="7"/>
    <x v="0"/>
    <d v="2014-10-11T00:00:00"/>
    <s v="Shipping Company A"/>
    <s v="Sven Mortensen"/>
    <s v="123 9th Street"/>
    <s v="Salt Lake City"/>
    <s v="UT"/>
    <n v="99999"/>
    <s v="USA"/>
    <s v="Check"/>
    <x v="15"/>
    <x v="10"/>
    <n v="34.799999999999997"/>
    <n v="70"/>
    <x v="231"/>
    <n v="246.036"/>
  </r>
  <r>
    <n v="1299"/>
    <x v="109"/>
    <n v="6"/>
    <x v="6"/>
    <s v="123 6th Street"/>
    <x v="5"/>
    <x v="5"/>
    <n v="99999"/>
    <s v="USA"/>
    <x v="4"/>
    <x v="2"/>
    <d v="2014-10-08T00:00:00"/>
    <s v="Shipping Company B"/>
    <s v="Francisco Pérez-Olaeta"/>
    <s v="123 6th Street"/>
    <s v="Milwaukee"/>
    <s v="WI"/>
    <n v="99999"/>
    <s v="USA"/>
    <s v="Credit Card"/>
    <x v="0"/>
    <x v="0"/>
    <n v="14"/>
    <n v="98"/>
    <x v="232"/>
    <n v="138.572"/>
  </r>
  <r>
    <n v="1300"/>
    <x v="111"/>
    <n v="8"/>
    <x v="3"/>
    <s v="123 8th Street"/>
    <x v="2"/>
    <x v="2"/>
    <n v="99999"/>
    <s v="USA"/>
    <x v="2"/>
    <x v="2"/>
    <d v="2014-10-10T00:00:00"/>
    <s v="Shipping Company B"/>
    <s v="Elizabeth Andersen"/>
    <s v="123 8th Street"/>
    <s v="Portland"/>
    <s v="OR"/>
    <n v="99999"/>
    <s v="USA"/>
    <s v="Check"/>
    <x v="9"/>
    <x v="5"/>
    <n v="40"/>
    <n v="48"/>
    <x v="207"/>
    <n v="188.16"/>
  </r>
  <r>
    <n v="1301"/>
    <x v="111"/>
    <n v="8"/>
    <x v="3"/>
    <s v="123 8th Street"/>
    <x v="2"/>
    <x v="2"/>
    <n v="99999"/>
    <s v="USA"/>
    <x v="2"/>
    <x v="2"/>
    <d v="2014-10-10T00:00:00"/>
    <s v="Shipping Company B"/>
    <s v="Elizabeth Andersen"/>
    <s v="123 8th Street"/>
    <s v="Portland"/>
    <s v="OR"/>
    <n v="99999"/>
    <s v="USA"/>
    <s v="Check"/>
    <x v="6"/>
    <x v="2"/>
    <n v="9.1999999999999993"/>
    <n v="100"/>
    <x v="233"/>
    <n v="91.08"/>
  </r>
  <r>
    <n v="1302"/>
    <x v="117"/>
    <n v="25"/>
    <x v="13"/>
    <s v="789 25th Street"/>
    <x v="7"/>
    <x v="7"/>
    <n v="99999"/>
    <s v="USA"/>
    <x v="6"/>
    <x v="1"/>
    <d v="2014-10-27T00:00:00"/>
    <s v="Shipping Company A"/>
    <s v="John Rodman"/>
    <s v="789 25th Street"/>
    <s v="Chicago"/>
    <s v="IL"/>
    <n v="99999"/>
    <s v="USA"/>
    <s v="Cash"/>
    <x v="21"/>
    <x v="2"/>
    <n v="10"/>
    <n v="90"/>
    <x v="234"/>
    <n v="87.3"/>
  </r>
  <r>
    <n v="1303"/>
    <x v="118"/>
    <n v="26"/>
    <x v="14"/>
    <s v="789 26th Street"/>
    <x v="9"/>
    <x v="9"/>
    <n v="99999"/>
    <s v="USA"/>
    <x v="5"/>
    <x v="3"/>
    <d v="2014-10-28T00:00:00"/>
    <s v="Shipping Company C"/>
    <s v="Run Liu"/>
    <s v="789 26th Street"/>
    <s v="Miami"/>
    <s v="FL"/>
    <n v="99999"/>
    <s v="USA"/>
    <s v="Credit Card"/>
    <x v="22"/>
    <x v="13"/>
    <n v="21.35"/>
    <n v="49"/>
    <x v="235"/>
    <n v="102.5227"/>
  </r>
  <r>
    <n v="1304"/>
    <x v="118"/>
    <n v="26"/>
    <x v="14"/>
    <s v="789 26th Street"/>
    <x v="9"/>
    <x v="9"/>
    <n v="99999"/>
    <s v="USA"/>
    <x v="5"/>
    <x v="3"/>
    <d v="2014-10-28T00:00:00"/>
    <s v="Shipping Company C"/>
    <s v="Run Liu"/>
    <s v="789 26th Street"/>
    <s v="Miami"/>
    <s v="FL"/>
    <n v="99999"/>
    <s v="USA"/>
    <s v="Credit Card"/>
    <x v="8"/>
    <x v="4"/>
    <n v="9.65"/>
    <n v="71"/>
    <x v="236"/>
    <n v="65.7744"/>
  </r>
  <r>
    <n v="1305"/>
    <x v="118"/>
    <n v="26"/>
    <x v="14"/>
    <s v="789 26th Street"/>
    <x v="9"/>
    <x v="9"/>
    <n v="99999"/>
    <s v="USA"/>
    <x v="5"/>
    <x v="3"/>
    <d v="2014-10-28T00:00:00"/>
    <s v="Shipping Company C"/>
    <s v="Run Liu"/>
    <s v="789 26th Street"/>
    <s v="Miami"/>
    <s v="FL"/>
    <n v="99999"/>
    <s v="USA"/>
    <s v="Credit Card"/>
    <x v="13"/>
    <x v="8"/>
    <n v="18.399999999999999"/>
    <n v="10"/>
    <x v="237"/>
    <n v="19.135999999999999"/>
  </r>
  <r>
    <n v="1306"/>
    <x v="119"/>
    <n v="29"/>
    <x v="4"/>
    <s v="789 29th Street"/>
    <x v="3"/>
    <x v="3"/>
    <n v="99999"/>
    <s v="USA"/>
    <x v="3"/>
    <x v="0"/>
    <d v="2014-10-31T00:00:00"/>
    <s v="Shipping Company B"/>
    <s v="Soo Jung Lee"/>
    <s v="789 29th Street"/>
    <s v="Denver"/>
    <s v="CO"/>
    <n v="99999"/>
    <s v="USA"/>
    <s v="Check"/>
    <x v="0"/>
    <x v="0"/>
    <n v="14"/>
    <n v="78"/>
    <x v="238"/>
    <n v="112.476"/>
  </r>
  <r>
    <n v="1307"/>
    <x v="109"/>
    <n v="6"/>
    <x v="6"/>
    <s v="123 6th Street"/>
    <x v="5"/>
    <x v="5"/>
    <n v="99999"/>
    <s v="USA"/>
    <x v="4"/>
    <x v="2"/>
    <d v="2014-10-08T00:00:00"/>
    <s v="Shipping Company C"/>
    <s v="Francisco Pérez-Olaeta"/>
    <s v="123 6th Street"/>
    <s v="Milwaukee"/>
    <s v="WI"/>
    <n v="99999"/>
    <s v="USA"/>
    <s v="Check"/>
    <x v="7"/>
    <x v="3"/>
    <n v="12.75"/>
    <n v="44"/>
    <x v="133"/>
    <n v="53.856000000000002"/>
  </r>
  <r>
    <n v="1309"/>
    <x v="120"/>
    <n v="4"/>
    <x v="1"/>
    <s v="123 4th Street"/>
    <x v="1"/>
    <x v="1"/>
    <n v="99999"/>
    <s v="USA"/>
    <x v="1"/>
    <x v="1"/>
    <d v="2014-10-06T00:00:00"/>
    <s v="Shipping Company A"/>
    <s v="Christina Lee"/>
    <s v="123 4th Street"/>
    <s v="New York"/>
    <s v="NY"/>
    <n v="99999"/>
    <s v="USA"/>
    <s v="Credit Card"/>
    <x v="23"/>
    <x v="6"/>
    <n v="81"/>
    <n v="82"/>
    <x v="239"/>
    <n v="697.41"/>
  </r>
  <r>
    <n v="1310"/>
    <x v="120"/>
    <n v="4"/>
    <x v="1"/>
    <s v="123 4th Street"/>
    <x v="1"/>
    <x v="1"/>
    <n v="99999"/>
    <s v="USA"/>
    <x v="1"/>
    <x v="1"/>
    <d v="2014-10-06T00:00:00"/>
    <s v="Shipping Company A"/>
    <s v="Christina Lee"/>
    <s v="123 4th Street"/>
    <s v="New York"/>
    <s v="NY"/>
    <n v="99999"/>
    <s v="USA"/>
    <s v="Credit Card"/>
    <x v="24"/>
    <x v="14"/>
    <n v="7"/>
    <n v="29"/>
    <x v="240"/>
    <n v="20.3"/>
  </r>
  <r>
    <n v="1312"/>
    <x v="111"/>
    <n v="8"/>
    <x v="3"/>
    <s v="123 8th Street"/>
    <x v="2"/>
    <x v="2"/>
    <n v="99999"/>
    <s v="USA"/>
    <x v="2"/>
    <x v="2"/>
    <d v="2014-10-10T00:00:00"/>
    <s v="Shipping Company C"/>
    <s v="Elizabeth Andersen"/>
    <s v="123 8th Street"/>
    <s v="Portland"/>
    <s v="OR"/>
    <n v="99999"/>
    <s v="USA"/>
    <s v="Credit Card"/>
    <x v="15"/>
    <x v="10"/>
    <n v="34.799999999999997"/>
    <n v="93"/>
    <x v="241"/>
    <n v="313.93079999999998"/>
  </r>
  <r>
    <n v="1315"/>
    <x v="121"/>
    <n v="3"/>
    <x v="5"/>
    <s v="123 3rd Street"/>
    <x v="4"/>
    <x v="4"/>
    <n v="99999"/>
    <s v="USA"/>
    <x v="0"/>
    <x v="0"/>
    <d v="2014-10-05T00:00:00"/>
    <s v="Shipping Company B"/>
    <s v="Thomas Axerr"/>
    <s v="123 3rd Street"/>
    <s v="Los Angelas"/>
    <s v="CA"/>
    <n v="99999"/>
    <s v="USA"/>
    <s v="Cash"/>
    <x v="16"/>
    <x v="7"/>
    <n v="10"/>
    <n v="11"/>
    <x v="242"/>
    <n v="11.44"/>
  </r>
  <r>
    <n v="1316"/>
    <x v="121"/>
    <n v="3"/>
    <x v="5"/>
    <s v="123 3rd Street"/>
    <x v="4"/>
    <x v="4"/>
    <n v="99999"/>
    <s v="USA"/>
    <x v="0"/>
    <x v="0"/>
    <d v="2014-10-05T00:00:00"/>
    <s v="Shipping Company B"/>
    <s v="Thomas Axerr"/>
    <s v="123 3rd Street"/>
    <s v="Los Angelas"/>
    <s v="CA"/>
    <n v="99999"/>
    <s v="USA"/>
    <s v="Cash"/>
    <x v="9"/>
    <x v="5"/>
    <n v="40"/>
    <n v="91"/>
    <x v="156"/>
    <n v="364"/>
  </r>
  <r>
    <n v="1320"/>
    <x v="112"/>
    <n v="10"/>
    <x v="8"/>
    <s v="123 10th Street"/>
    <x v="7"/>
    <x v="7"/>
    <n v="99999"/>
    <s v="USA"/>
    <x v="6"/>
    <x v="1"/>
    <d v="2014-10-12T00:00:00"/>
    <s v="Shipping Company B"/>
    <s v="Roland Wacker"/>
    <s v="123 10th Street"/>
    <s v="Chicago"/>
    <s v="IL"/>
    <n v="99999"/>
    <s v="USA"/>
    <s v="Credit Card"/>
    <x v="18"/>
    <x v="1"/>
    <n v="10"/>
    <n v="12"/>
    <x v="243"/>
    <n v="12.36"/>
  </r>
  <r>
    <n v="1322"/>
    <x v="112"/>
    <n v="10"/>
    <x v="8"/>
    <s v="123 10th Street"/>
    <x v="7"/>
    <x v="7"/>
    <n v="99999"/>
    <s v="USA"/>
    <x v="6"/>
    <x v="1"/>
    <m/>
    <s v="Shipping Company A"/>
    <s v="Roland Wacker"/>
    <s v="123 10th Street"/>
    <s v="Chicago"/>
    <s v="IL"/>
    <n v="99999"/>
    <s v="USA"/>
    <m/>
    <x v="1"/>
    <x v="1"/>
    <n v="3.5"/>
    <n v="78"/>
    <x v="213"/>
    <n v="27.3"/>
  </r>
  <r>
    <n v="1323"/>
    <x v="114"/>
    <n v="11"/>
    <x v="10"/>
    <s v="123 11th Street"/>
    <x v="9"/>
    <x v="9"/>
    <n v="99999"/>
    <s v="USA"/>
    <x v="5"/>
    <x v="3"/>
    <m/>
    <s v="Shipping Company C"/>
    <s v="Peter Krschne"/>
    <s v="123 11th Street"/>
    <s v="Miami"/>
    <s v="FL"/>
    <n v="99999"/>
    <s v="USA"/>
    <m/>
    <x v="9"/>
    <x v="5"/>
    <n v="40"/>
    <n v="60"/>
    <x v="244"/>
    <n v="228"/>
  </r>
  <r>
    <n v="1324"/>
    <x v="115"/>
    <n v="1"/>
    <x v="11"/>
    <s v="123 1st Street"/>
    <x v="10"/>
    <x v="10"/>
    <n v="99999"/>
    <s v="USA"/>
    <x v="2"/>
    <x v="2"/>
    <m/>
    <s v="Shipping Company C"/>
    <s v="Anna Bedecs"/>
    <s v="123 1st Street"/>
    <s v="Seattle"/>
    <s v="WA"/>
    <n v="99999"/>
    <s v="USA"/>
    <m/>
    <x v="13"/>
    <x v="8"/>
    <n v="18.399999999999999"/>
    <n v="23"/>
    <x v="245"/>
    <n v="43.589599999999997"/>
  </r>
  <r>
    <n v="1325"/>
    <x v="110"/>
    <n v="28"/>
    <x v="7"/>
    <s v="789 28th Street"/>
    <x v="6"/>
    <x v="6"/>
    <n v="99999"/>
    <s v="USA"/>
    <x v="5"/>
    <x v="3"/>
    <d v="2014-10-30T00:00:00"/>
    <s v="Shipping Company C"/>
    <s v="Amritansh Raghav"/>
    <s v="789 28th Street"/>
    <s v="Memphis"/>
    <s v="TN"/>
    <n v="99999"/>
    <s v="USA"/>
    <s v="Credit Card"/>
    <x v="5"/>
    <x v="0"/>
    <n v="46"/>
    <n v="34"/>
    <x v="246"/>
    <n v="157.964"/>
  </r>
  <r>
    <n v="1326"/>
    <x v="116"/>
    <n v="9"/>
    <x v="12"/>
    <s v="123 9th Street"/>
    <x v="11"/>
    <x v="11"/>
    <n v="99999"/>
    <s v="USA"/>
    <x v="7"/>
    <x v="0"/>
    <d v="2014-10-11T00:00:00"/>
    <s v="Shipping Company A"/>
    <s v="Sven Mortensen"/>
    <s v="123 9th Street"/>
    <s v="Salt Lake City"/>
    <s v="UT"/>
    <n v="99999"/>
    <s v="USA"/>
    <s v="Check"/>
    <x v="8"/>
    <x v="4"/>
    <n v="9.65"/>
    <n v="89"/>
    <x v="247"/>
    <n v="86.743849999999995"/>
  </r>
  <r>
    <n v="1327"/>
    <x v="109"/>
    <n v="6"/>
    <x v="6"/>
    <s v="123 6th Street"/>
    <x v="5"/>
    <x v="5"/>
    <n v="99999"/>
    <s v="USA"/>
    <x v="4"/>
    <x v="2"/>
    <d v="2014-10-08T00:00:00"/>
    <s v="Shipping Company B"/>
    <s v="Francisco Pérez-Olaeta"/>
    <s v="123 6th Street"/>
    <s v="Milwaukee"/>
    <s v="WI"/>
    <n v="99999"/>
    <s v="USA"/>
    <s v="Credit Card"/>
    <x v="7"/>
    <x v="3"/>
    <n v="12.75"/>
    <n v="82"/>
    <x v="248"/>
    <n v="103.50449999999999"/>
  </r>
  <r>
    <n v="1328"/>
    <x v="111"/>
    <n v="8"/>
    <x v="3"/>
    <s v="123 8th Street"/>
    <x v="2"/>
    <x v="2"/>
    <n v="99999"/>
    <s v="USA"/>
    <x v="2"/>
    <x v="2"/>
    <d v="2014-10-10T00:00:00"/>
    <s v="Shipping Company B"/>
    <s v="Elizabeth Andersen"/>
    <s v="123 8th Street"/>
    <s v="Portland"/>
    <s v="OR"/>
    <n v="99999"/>
    <s v="USA"/>
    <s v="Check"/>
    <x v="7"/>
    <x v="3"/>
    <n v="12.75"/>
    <n v="43"/>
    <x v="249"/>
    <n v="52.631999999999998"/>
  </r>
  <r>
    <n v="1329"/>
    <x v="122"/>
    <n v="10"/>
    <x v="8"/>
    <s v="123 10th Street"/>
    <x v="7"/>
    <x v="7"/>
    <n v="99999"/>
    <s v="USA"/>
    <x v="6"/>
    <x v="1"/>
    <d v="2014-11-12T00:00:00"/>
    <s v="Shipping Company A"/>
    <s v="Roland Wacker"/>
    <s v="123 10th Street"/>
    <s v="Chicago"/>
    <s v="IL"/>
    <n v="99999"/>
    <s v="USA"/>
    <m/>
    <x v="12"/>
    <x v="7"/>
    <n v="22"/>
    <n v="96"/>
    <x v="250"/>
    <n v="221.76"/>
  </r>
  <r>
    <n v="1330"/>
    <x v="122"/>
    <n v="10"/>
    <x v="8"/>
    <s v="123 10th Street"/>
    <x v="7"/>
    <x v="7"/>
    <n v="99999"/>
    <s v="USA"/>
    <x v="6"/>
    <x v="1"/>
    <d v="2014-11-12T00:00:00"/>
    <s v="Shipping Company A"/>
    <s v="Roland Wacker"/>
    <s v="123 10th Street"/>
    <s v="Chicago"/>
    <s v="IL"/>
    <n v="99999"/>
    <s v="USA"/>
    <m/>
    <x v="6"/>
    <x v="2"/>
    <n v="9.1999999999999993"/>
    <n v="34"/>
    <x v="251"/>
    <n v="31.28"/>
  </r>
  <r>
    <n v="1331"/>
    <x v="123"/>
    <n v="11"/>
    <x v="10"/>
    <s v="123 11th Street"/>
    <x v="9"/>
    <x v="9"/>
    <n v="99999"/>
    <s v="USA"/>
    <x v="5"/>
    <x v="3"/>
    <m/>
    <s v="Shipping Company C"/>
    <s v="Peter Krschne"/>
    <s v="123 11th Street"/>
    <s v="Miami"/>
    <s v="FL"/>
    <n v="99999"/>
    <s v="USA"/>
    <m/>
    <x v="1"/>
    <x v="1"/>
    <n v="3.5"/>
    <n v="42"/>
    <x v="252"/>
    <n v="15.141"/>
  </r>
  <r>
    <n v="1332"/>
    <x v="123"/>
    <n v="11"/>
    <x v="10"/>
    <s v="123 11th Street"/>
    <x v="9"/>
    <x v="9"/>
    <n v="99999"/>
    <s v="USA"/>
    <x v="5"/>
    <x v="3"/>
    <m/>
    <s v="Shipping Company C"/>
    <s v="Peter Krschne"/>
    <s v="123 11th Street"/>
    <s v="Miami"/>
    <s v="FL"/>
    <n v="99999"/>
    <s v="USA"/>
    <m/>
    <x v="10"/>
    <x v="0"/>
    <n v="2.99"/>
    <n v="100"/>
    <x v="253"/>
    <n v="30.498000000000001"/>
  </r>
  <r>
    <n v="1333"/>
    <x v="124"/>
    <n v="1"/>
    <x v="11"/>
    <s v="123 1st Street"/>
    <x v="10"/>
    <x v="10"/>
    <n v="99999"/>
    <s v="USA"/>
    <x v="2"/>
    <x v="2"/>
    <m/>
    <m/>
    <s v="Anna Bedecs"/>
    <s v="123 1st Street"/>
    <s v="Seattle"/>
    <s v="WA"/>
    <n v="99999"/>
    <s v="USA"/>
    <m/>
    <x v="4"/>
    <x v="0"/>
    <n v="18"/>
    <n v="42"/>
    <x v="21"/>
    <n v="76.355999999999995"/>
  </r>
  <r>
    <n v="1334"/>
    <x v="124"/>
    <n v="1"/>
    <x v="11"/>
    <s v="123 1st Street"/>
    <x v="10"/>
    <x v="10"/>
    <n v="99999"/>
    <s v="USA"/>
    <x v="2"/>
    <x v="2"/>
    <m/>
    <m/>
    <s v="Anna Bedecs"/>
    <s v="123 1st Street"/>
    <s v="Seattle"/>
    <s v="WA"/>
    <n v="99999"/>
    <s v="USA"/>
    <m/>
    <x v="5"/>
    <x v="0"/>
    <n v="46"/>
    <n v="16"/>
    <x v="128"/>
    <n v="70.656000000000006"/>
  </r>
  <r>
    <n v="1335"/>
    <x v="124"/>
    <n v="1"/>
    <x v="11"/>
    <s v="123 1st Street"/>
    <x v="10"/>
    <x v="10"/>
    <n v="99999"/>
    <s v="USA"/>
    <x v="2"/>
    <x v="2"/>
    <m/>
    <m/>
    <s v="Anna Bedecs"/>
    <s v="123 1st Street"/>
    <s v="Seattle"/>
    <s v="WA"/>
    <n v="99999"/>
    <s v="USA"/>
    <m/>
    <x v="10"/>
    <x v="0"/>
    <n v="2.99"/>
    <n v="22"/>
    <x v="254"/>
    <n v="6.3806599999999998"/>
  </r>
  <r>
    <n v="1336"/>
    <x v="125"/>
    <n v="28"/>
    <x v="7"/>
    <s v="789 28th Street"/>
    <x v="6"/>
    <x v="6"/>
    <n v="99999"/>
    <s v="USA"/>
    <x v="5"/>
    <x v="3"/>
    <d v="2014-11-30T00:00:00"/>
    <s v="Shipping Company C"/>
    <s v="Amritansh Raghav"/>
    <s v="789 28th Street"/>
    <s v="Memphis"/>
    <s v="TN"/>
    <n v="99999"/>
    <s v="USA"/>
    <s v="Credit Card"/>
    <x v="8"/>
    <x v="4"/>
    <n v="9.65"/>
    <n v="46"/>
    <x v="255"/>
    <n v="45.721699999999998"/>
  </r>
  <r>
    <n v="1337"/>
    <x v="125"/>
    <n v="28"/>
    <x v="7"/>
    <s v="789 28th Street"/>
    <x v="6"/>
    <x v="6"/>
    <n v="99999"/>
    <s v="USA"/>
    <x v="5"/>
    <x v="3"/>
    <n v="41973"/>
    <s v="Shipping Company C"/>
    <s v="Amritansh Raghav"/>
    <s v="789 28th Street"/>
    <s v="Memphis"/>
    <s v="TN"/>
    <n v="99999"/>
    <s v="USA"/>
    <s v="Credit Card"/>
    <x v="13"/>
    <x v="8"/>
    <n v="18.399999999999999"/>
    <n v="100"/>
    <x v="256"/>
    <n v="184"/>
  </r>
  <r>
    <n v="1338"/>
    <x v="126"/>
    <n v="9"/>
    <x v="12"/>
    <s v="123 9th Street"/>
    <x v="11"/>
    <x v="11"/>
    <n v="99999"/>
    <s v="USA"/>
    <x v="7"/>
    <x v="0"/>
    <n v="41954"/>
    <s v="Shipping Company A"/>
    <s v="Sven Mortensen"/>
    <s v="123 9th Street"/>
    <s v="Salt Lake City"/>
    <s v="UT"/>
    <n v="99999"/>
    <s v="USA"/>
    <s v="Check"/>
    <x v="14"/>
    <x v="9"/>
    <n v="19.5"/>
    <n v="87"/>
    <x v="257"/>
    <n v="174.73949999999999"/>
  </r>
  <r>
    <n v="1339"/>
    <x v="126"/>
    <n v="9"/>
    <x v="12"/>
    <s v="123 9th Street"/>
    <x v="11"/>
    <x v="11"/>
    <n v="99999"/>
    <s v="USA"/>
    <x v="7"/>
    <x v="0"/>
    <n v="41954"/>
    <s v="Shipping Company A"/>
    <s v="Sven Mortensen"/>
    <s v="123 9th Street"/>
    <s v="Salt Lake City"/>
    <s v="UT"/>
    <n v="99999"/>
    <s v="USA"/>
    <s v="Check"/>
    <x v="15"/>
    <x v="10"/>
    <n v="34.799999999999997"/>
    <n v="58"/>
    <x v="258"/>
    <n v="205.8768"/>
  </r>
  <r>
    <n v="1340"/>
    <x v="127"/>
    <n v="6"/>
    <x v="6"/>
    <s v="123 6th Street"/>
    <x v="5"/>
    <x v="5"/>
    <n v="99999"/>
    <s v="USA"/>
    <x v="4"/>
    <x v="2"/>
    <n v="41951"/>
    <s v="Shipping Company B"/>
    <s v="Francisco Pérez-Olaeta"/>
    <s v="123 6th Street"/>
    <s v="Milwaukee"/>
    <s v="WI"/>
    <n v="99999"/>
    <s v="USA"/>
    <s v="Credit Card"/>
    <x v="0"/>
    <x v="0"/>
    <n v="14"/>
    <n v="85"/>
    <x v="259"/>
    <n v="120.19"/>
  </r>
  <r>
    <n v="1341"/>
    <x v="128"/>
    <n v="8"/>
    <x v="3"/>
    <s v="123 8th Street"/>
    <x v="2"/>
    <x v="2"/>
    <n v="99999"/>
    <s v="USA"/>
    <x v="2"/>
    <x v="2"/>
    <n v="41953"/>
    <s v="Shipping Company B"/>
    <s v="Elizabeth Andersen"/>
    <s v="123 8th Street"/>
    <s v="Portland"/>
    <s v="OR"/>
    <n v="99999"/>
    <s v="USA"/>
    <s v="Check"/>
    <x v="9"/>
    <x v="5"/>
    <n v="40"/>
    <n v="28"/>
    <x v="138"/>
    <n v="110.88"/>
  </r>
  <r>
    <n v="1342"/>
    <x v="128"/>
    <n v="8"/>
    <x v="3"/>
    <s v="123 8th Street"/>
    <x v="2"/>
    <x v="2"/>
    <n v="99999"/>
    <s v="USA"/>
    <x v="2"/>
    <x v="2"/>
    <d v="2014-11-10T00:00:00"/>
    <s v="Shipping Company B"/>
    <s v="Elizabeth Andersen"/>
    <s v="123 8th Street"/>
    <s v="Portland"/>
    <s v="OR"/>
    <n v="99999"/>
    <s v="USA"/>
    <s v="Check"/>
    <x v="6"/>
    <x v="2"/>
    <n v="9.1999999999999993"/>
    <n v="19"/>
    <x v="260"/>
    <n v="17.130400000000002"/>
  </r>
  <r>
    <n v="1343"/>
    <x v="129"/>
    <n v="25"/>
    <x v="13"/>
    <s v="789 25th Street"/>
    <x v="7"/>
    <x v="7"/>
    <n v="99999"/>
    <s v="USA"/>
    <x v="6"/>
    <x v="1"/>
    <d v="2014-11-27T00:00:00"/>
    <s v="Shipping Company A"/>
    <s v="John Rodman"/>
    <s v="789 25th Street"/>
    <s v="Chicago"/>
    <s v="IL"/>
    <n v="99999"/>
    <s v="USA"/>
    <s v="Cash"/>
    <x v="21"/>
    <x v="2"/>
    <n v="10"/>
    <n v="99"/>
    <x v="82"/>
    <n v="102.96"/>
  </r>
  <r>
    <n v="1344"/>
    <x v="130"/>
    <n v="26"/>
    <x v="14"/>
    <s v="789 26th Street"/>
    <x v="9"/>
    <x v="9"/>
    <n v="99999"/>
    <s v="USA"/>
    <x v="5"/>
    <x v="3"/>
    <d v="2014-11-28T00:00:00"/>
    <s v="Shipping Company C"/>
    <s v="Run Liu"/>
    <s v="789 26th Street"/>
    <s v="Miami"/>
    <s v="FL"/>
    <n v="99999"/>
    <s v="USA"/>
    <s v="Credit Card"/>
    <x v="22"/>
    <x v="13"/>
    <n v="21.35"/>
    <n v="69"/>
    <x v="261"/>
    <n v="153.20760000000001"/>
  </r>
  <r>
    <n v="1345"/>
    <x v="130"/>
    <n v="26"/>
    <x v="14"/>
    <s v="789 26th Street"/>
    <x v="9"/>
    <x v="9"/>
    <n v="99999"/>
    <s v="USA"/>
    <x v="5"/>
    <x v="3"/>
    <d v="2014-11-28T00:00:00"/>
    <s v="Shipping Company C"/>
    <s v="Run Liu"/>
    <s v="789 26th Street"/>
    <s v="Miami"/>
    <s v="FL"/>
    <n v="99999"/>
    <s v="USA"/>
    <s v="Credit Card"/>
    <x v="8"/>
    <x v="4"/>
    <n v="9.65"/>
    <n v="37"/>
    <x v="262"/>
    <n v="33.919750000000001"/>
  </r>
  <r>
    <n v="1346"/>
    <x v="130"/>
    <n v="26"/>
    <x v="14"/>
    <s v="789 26th Street"/>
    <x v="9"/>
    <x v="9"/>
    <n v="99999"/>
    <s v="USA"/>
    <x v="5"/>
    <x v="3"/>
    <d v="2014-11-28T00:00:00"/>
    <s v="Shipping Company C"/>
    <s v="Run Liu"/>
    <s v="789 26th Street"/>
    <s v="Miami"/>
    <s v="FL"/>
    <n v="99999"/>
    <s v="USA"/>
    <s v="Credit Card"/>
    <x v="13"/>
    <x v="8"/>
    <n v="18.399999999999999"/>
    <n v="64"/>
    <x v="106"/>
    <n v="118.9376"/>
  </r>
  <r>
    <n v="1347"/>
    <x v="131"/>
    <n v="29"/>
    <x v="4"/>
    <s v="789 29th Street"/>
    <x v="3"/>
    <x v="3"/>
    <n v="99999"/>
    <s v="USA"/>
    <x v="3"/>
    <x v="0"/>
    <d v="2014-12-01T00:00:00"/>
    <s v="Shipping Company B"/>
    <s v="Soo Jung Lee"/>
    <s v="789 29th Street"/>
    <s v="Denver"/>
    <s v="CO"/>
    <n v="99999"/>
    <s v="USA"/>
    <s v="Check"/>
    <x v="0"/>
    <x v="0"/>
    <n v="14"/>
    <n v="38"/>
    <x v="196"/>
    <n v="55.328000000000003"/>
  </r>
  <r>
    <n v="1348"/>
    <x v="127"/>
    <n v="6"/>
    <x v="6"/>
    <s v="123 6th Street"/>
    <x v="5"/>
    <x v="5"/>
    <n v="99999"/>
    <s v="USA"/>
    <x v="4"/>
    <x v="2"/>
    <d v="2014-11-08T00:00:00"/>
    <s v="Shipping Company C"/>
    <s v="Francisco Pérez-Olaeta"/>
    <s v="123 6th Street"/>
    <s v="Milwaukee"/>
    <s v="WI"/>
    <n v="99999"/>
    <s v="USA"/>
    <s v="Check"/>
    <x v="7"/>
    <x v="3"/>
    <n v="12.75"/>
    <n v="15"/>
    <x v="263"/>
    <n v="18.55125"/>
  </r>
  <r>
    <n v="1350"/>
    <x v="132"/>
    <n v="4"/>
    <x v="1"/>
    <s v="123 4th Street"/>
    <x v="1"/>
    <x v="1"/>
    <n v="99999"/>
    <s v="USA"/>
    <x v="1"/>
    <x v="1"/>
    <d v="2014-11-06T00:00:00"/>
    <s v="Shipping Company A"/>
    <s v="Christina Lee"/>
    <s v="123 4th Street"/>
    <s v="New York"/>
    <s v="NY"/>
    <n v="99999"/>
    <s v="USA"/>
    <s v="Credit Card"/>
    <x v="23"/>
    <x v="6"/>
    <n v="81"/>
    <n v="52"/>
    <x v="264"/>
    <n v="412.77600000000001"/>
  </r>
  <r>
    <n v="1351"/>
    <x v="132"/>
    <n v="4"/>
    <x v="1"/>
    <s v="123 4th Street"/>
    <x v="1"/>
    <x v="1"/>
    <n v="99999"/>
    <s v="USA"/>
    <x v="1"/>
    <x v="1"/>
    <d v="2014-11-06T00:00:00"/>
    <s v="Shipping Company A"/>
    <s v="Christina Lee"/>
    <s v="123 4th Street"/>
    <s v="New York"/>
    <s v="NY"/>
    <n v="99999"/>
    <s v="USA"/>
    <s v="Credit Card"/>
    <x v="24"/>
    <x v="14"/>
    <n v="7"/>
    <n v="37"/>
    <x v="58"/>
    <n v="25.382000000000001"/>
  </r>
  <r>
    <n v="1353"/>
    <x v="128"/>
    <n v="8"/>
    <x v="3"/>
    <s v="123 8th Street"/>
    <x v="2"/>
    <x v="2"/>
    <n v="99999"/>
    <s v="USA"/>
    <x v="2"/>
    <x v="2"/>
    <d v="2014-11-10T00:00:00"/>
    <s v="Shipping Company C"/>
    <s v="Elizabeth Andersen"/>
    <s v="123 8th Street"/>
    <s v="Portland"/>
    <s v="OR"/>
    <n v="99999"/>
    <s v="USA"/>
    <s v="Credit Card"/>
    <x v="15"/>
    <x v="10"/>
    <n v="34.799999999999997"/>
    <n v="24"/>
    <x v="265"/>
    <n v="80.179199999999994"/>
  </r>
  <r>
    <n v="1356"/>
    <x v="133"/>
    <n v="3"/>
    <x v="5"/>
    <s v="123 3rd Street"/>
    <x v="4"/>
    <x v="4"/>
    <n v="99999"/>
    <s v="USA"/>
    <x v="0"/>
    <x v="0"/>
    <d v="2014-11-05T00:00:00"/>
    <s v="Shipping Company B"/>
    <s v="Thomas Axerr"/>
    <s v="123 3rd Street"/>
    <s v="Los Angelas"/>
    <s v="CA"/>
    <n v="99999"/>
    <s v="USA"/>
    <s v="Cash"/>
    <x v="16"/>
    <x v="7"/>
    <n v="10"/>
    <n v="36"/>
    <x v="266"/>
    <n v="37.08"/>
  </r>
  <r>
    <n v="1357"/>
    <x v="133"/>
    <n v="3"/>
    <x v="5"/>
    <s v="123 3rd Street"/>
    <x v="4"/>
    <x v="4"/>
    <n v="99999"/>
    <s v="USA"/>
    <x v="0"/>
    <x v="0"/>
    <d v="2014-11-05T00:00:00"/>
    <s v="Shipping Company B"/>
    <s v="Thomas Axerr"/>
    <s v="123 3rd Street"/>
    <s v="Los Angelas"/>
    <s v="CA"/>
    <n v="99999"/>
    <s v="USA"/>
    <s v="Cash"/>
    <x v="9"/>
    <x v="5"/>
    <n v="40"/>
    <n v="24"/>
    <x v="267"/>
    <n v="96"/>
  </r>
  <r>
    <n v="1361"/>
    <x v="122"/>
    <n v="10"/>
    <x v="8"/>
    <s v="123 10th Street"/>
    <x v="7"/>
    <x v="7"/>
    <n v="99999"/>
    <s v="USA"/>
    <x v="6"/>
    <x v="1"/>
    <d v="2014-11-12T00:00:00"/>
    <s v="Shipping Company B"/>
    <s v="Roland Wacker"/>
    <s v="123 10th Street"/>
    <s v="Chicago"/>
    <s v="IL"/>
    <n v="99999"/>
    <s v="USA"/>
    <s v="Credit Card"/>
    <x v="18"/>
    <x v="1"/>
    <n v="10"/>
    <n v="20"/>
    <x v="268"/>
    <n v="20"/>
  </r>
  <r>
    <n v="1363"/>
    <x v="122"/>
    <n v="10"/>
    <x v="8"/>
    <s v="123 10th Street"/>
    <x v="7"/>
    <x v="7"/>
    <n v="99999"/>
    <s v="USA"/>
    <x v="6"/>
    <x v="1"/>
    <m/>
    <s v="Shipping Company A"/>
    <s v="Roland Wacker"/>
    <s v="123 10th Street"/>
    <s v="Chicago"/>
    <s v="IL"/>
    <n v="99999"/>
    <s v="USA"/>
    <m/>
    <x v="1"/>
    <x v="1"/>
    <n v="3.5"/>
    <n v="11"/>
    <x v="4"/>
    <n v="3.7345000000000002"/>
  </r>
  <r>
    <n v="1364"/>
    <x v="123"/>
    <n v="11"/>
    <x v="10"/>
    <s v="123 11th Street"/>
    <x v="9"/>
    <x v="9"/>
    <n v="99999"/>
    <s v="USA"/>
    <x v="5"/>
    <x v="3"/>
    <m/>
    <s v="Shipping Company C"/>
    <s v="Peter Krschne"/>
    <s v="123 11th Street"/>
    <s v="Miami"/>
    <s v="FL"/>
    <n v="99999"/>
    <s v="USA"/>
    <m/>
    <x v="9"/>
    <x v="5"/>
    <n v="40"/>
    <n v="78"/>
    <x v="188"/>
    <n v="299.52"/>
  </r>
  <r>
    <n v="1365"/>
    <x v="124"/>
    <n v="1"/>
    <x v="11"/>
    <s v="123 1st Street"/>
    <x v="10"/>
    <x v="10"/>
    <n v="99999"/>
    <s v="USA"/>
    <x v="2"/>
    <x v="2"/>
    <m/>
    <s v="Shipping Company C"/>
    <s v="Anna Bedecs"/>
    <s v="123 1st Street"/>
    <s v="Seattle"/>
    <s v="WA"/>
    <n v="99999"/>
    <s v="USA"/>
    <m/>
    <x v="13"/>
    <x v="8"/>
    <n v="18.399999999999999"/>
    <n v="76"/>
    <x v="269"/>
    <n v="144.0352"/>
  </r>
  <r>
    <n v="1366"/>
    <x v="125"/>
    <n v="28"/>
    <x v="7"/>
    <s v="789 28th Street"/>
    <x v="6"/>
    <x v="6"/>
    <n v="99999"/>
    <s v="USA"/>
    <x v="5"/>
    <x v="3"/>
    <d v="2014-11-30T00:00:00"/>
    <s v="Shipping Company C"/>
    <s v="Amritansh Raghav"/>
    <s v="789 28th Street"/>
    <s v="Memphis"/>
    <s v="TN"/>
    <n v="99999"/>
    <s v="USA"/>
    <s v="Credit Card"/>
    <x v="5"/>
    <x v="0"/>
    <n v="46"/>
    <n v="57"/>
    <x v="270"/>
    <n v="272.68799999999999"/>
  </r>
  <r>
    <n v="1367"/>
    <x v="126"/>
    <n v="9"/>
    <x v="12"/>
    <s v="123 9th Street"/>
    <x v="11"/>
    <x v="11"/>
    <n v="99999"/>
    <s v="USA"/>
    <x v="7"/>
    <x v="0"/>
    <d v="2014-11-11T00:00:00"/>
    <s v="Shipping Company A"/>
    <s v="Sven Mortensen"/>
    <s v="123 9th Street"/>
    <s v="Salt Lake City"/>
    <s v="UT"/>
    <n v="99999"/>
    <s v="USA"/>
    <s v="Check"/>
    <x v="8"/>
    <x v="4"/>
    <n v="9.65"/>
    <n v="14"/>
    <x v="271"/>
    <n v="12.9696"/>
  </r>
  <r>
    <n v="1368"/>
    <x v="134"/>
    <n v="27"/>
    <x v="0"/>
    <s v="789 27th Street"/>
    <x v="0"/>
    <x v="0"/>
    <n v="99999"/>
    <s v="USA"/>
    <x v="0"/>
    <x v="0"/>
    <d v="2014-12-29T00:00:00"/>
    <s v="Shipping Company B"/>
    <s v="Karen Toh"/>
    <s v="789 27th Street"/>
    <s v="Las Vegas"/>
    <s v="NV"/>
    <n v="99999"/>
    <s v="USA"/>
    <s v="Check"/>
    <x v="0"/>
    <x v="0"/>
    <n v="14"/>
    <n v="14"/>
    <x v="272"/>
    <n v="19.795999999999999"/>
  </r>
  <r>
    <n v="1369"/>
    <x v="134"/>
    <n v="27"/>
    <x v="0"/>
    <s v="789 27th Street"/>
    <x v="0"/>
    <x v="0"/>
    <n v="99999"/>
    <s v="USA"/>
    <x v="0"/>
    <x v="0"/>
    <d v="2014-12-29T00:00:00"/>
    <s v="Shipping Company B"/>
    <s v="Karen Toh"/>
    <s v="789 27th Street"/>
    <s v="Las Vegas"/>
    <s v="NV"/>
    <n v="99999"/>
    <s v="USA"/>
    <s v="Check"/>
    <x v="1"/>
    <x v="1"/>
    <n v="3.5"/>
    <n v="70"/>
    <x v="273"/>
    <n v="25.234999999999999"/>
  </r>
  <r>
    <n v="1370"/>
    <x v="135"/>
    <n v="4"/>
    <x v="1"/>
    <s v="123 4th Street"/>
    <x v="1"/>
    <x v="1"/>
    <n v="99999"/>
    <s v="USA"/>
    <x v="1"/>
    <x v="1"/>
    <d v="2014-12-06T00:00:00"/>
    <s v="Shipping Company A"/>
    <s v="Christina Lee"/>
    <s v="123 4th Street"/>
    <s v="New York"/>
    <s v="NY"/>
    <n v="99999"/>
    <s v="USA"/>
    <s v="Credit Card"/>
    <x v="2"/>
    <x v="1"/>
    <n v="30"/>
    <n v="100"/>
    <x v="274"/>
    <n v="291"/>
  </r>
  <r>
    <n v="1371"/>
    <x v="135"/>
    <n v="4"/>
    <x v="1"/>
    <s v="123 4th Street"/>
    <x v="1"/>
    <x v="1"/>
    <n v="99999"/>
    <s v="USA"/>
    <x v="1"/>
    <x v="1"/>
    <d v="2014-12-06T00:00:00"/>
    <s v="Shipping Company A"/>
    <s v="Christina Lee"/>
    <s v="123 4th Street"/>
    <s v="New York"/>
    <s v="NY"/>
    <n v="99999"/>
    <s v="USA"/>
    <s v="Credit Card"/>
    <x v="3"/>
    <x v="1"/>
    <n v="53"/>
    <n v="27"/>
    <x v="275"/>
    <n v="143.1"/>
  </r>
  <r>
    <n v="1372"/>
    <x v="135"/>
    <n v="4"/>
    <x v="1"/>
    <s v="123 4th Street"/>
    <x v="1"/>
    <x v="1"/>
    <n v="99999"/>
    <s v="USA"/>
    <x v="1"/>
    <x v="1"/>
    <d v="2014-12-06T00:00:00"/>
    <s v="Shipping Company A"/>
    <s v="Christina Lee"/>
    <s v="123 4th Street"/>
    <s v="New York"/>
    <s v="NY"/>
    <n v="99999"/>
    <s v="USA"/>
    <s v="Credit Card"/>
    <x v="1"/>
    <x v="1"/>
    <n v="3.5"/>
    <n v="70"/>
    <x v="273"/>
    <n v="24.01"/>
  </r>
  <r>
    <n v="1373"/>
    <x v="136"/>
    <n v="12"/>
    <x v="2"/>
    <s v="123 12th Street"/>
    <x v="0"/>
    <x v="0"/>
    <n v="99999"/>
    <s v="USA"/>
    <x v="0"/>
    <x v="0"/>
    <d v="2014-12-14T00:00:00"/>
    <s v="Shipping Company B"/>
    <s v="John Edwards"/>
    <s v="123 12th Street"/>
    <s v="Las Vegas"/>
    <s v="NV"/>
    <n v="99999"/>
    <s v="USA"/>
    <s v="Credit Card"/>
    <x v="4"/>
    <x v="0"/>
    <n v="18"/>
    <n v="57"/>
    <x v="276"/>
    <n v="102.6"/>
  </r>
  <r>
    <n v="1374"/>
    <x v="136"/>
    <n v="12"/>
    <x v="2"/>
    <s v="123 12th Street"/>
    <x v="0"/>
    <x v="0"/>
    <n v="99999"/>
    <s v="USA"/>
    <x v="0"/>
    <x v="0"/>
    <d v="2014-12-14T00:00:00"/>
    <s v="Shipping Company B"/>
    <s v="John Edwards"/>
    <s v="123 12th Street"/>
    <s v="Las Vegas"/>
    <s v="NV"/>
    <n v="99999"/>
    <s v="USA"/>
    <s v="Credit Card"/>
    <x v="5"/>
    <x v="0"/>
    <n v="46"/>
    <n v="83"/>
    <x v="277"/>
    <n v="374.16399999999999"/>
  </r>
  <r>
    <n v="1375"/>
    <x v="137"/>
    <n v="8"/>
    <x v="3"/>
    <s v="123 8th Street"/>
    <x v="2"/>
    <x v="2"/>
    <n v="99999"/>
    <s v="USA"/>
    <x v="2"/>
    <x v="2"/>
    <d v="2014-12-10T00:00:00"/>
    <s v="Shipping Company C"/>
    <s v="Elizabeth Andersen"/>
    <s v="123 8th Street"/>
    <s v="Portland"/>
    <s v="OR"/>
    <n v="99999"/>
    <s v="USA"/>
    <s v="Credit Card"/>
    <x v="6"/>
    <x v="2"/>
    <n v="9.1999999999999993"/>
    <n v="76"/>
    <x v="278"/>
    <n v="67.123199999999997"/>
  </r>
  <r>
    <n v="1376"/>
    <x v="135"/>
    <n v="4"/>
    <x v="1"/>
    <s v="123 4th Street"/>
    <x v="1"/>
    <x v="1"/>
    <n v="99999"/>
    <s v="USA"/>
    <x v="1"/>
    <x v="1"/>
    <n v="41979"/>
    <s v="Shipping Company C"/>
    <s v="Christina Lee"/>
    <s v="123 4th Street"/>
    <s v="New York"/>
    <s v="NY"/>
    <n v="99999"/>
    <s v="USA"/>
    <s v="Check"/>
    <x v="6"/>
    <x v="2"/>
    <n v="9.1999999999999993"/>
    <n v="80"/>
    <x v="128"/>
    <n v="72.864000000000004"/>
  </r>
  <r>
    <n v="1377"/>
    <x v="138"/>
    <n v="29"/>
    <x v="4"/>
    <s v="789 29th Street"/>
    <x v="3"/>
    <x v="3"/>
    <n v="99999"/>
    <s v="USA"/>
    <x v="3"/>
    <x v="0"/>
    <n v="42004"/>
    <s v="Shipping Company B"/>
    <s v="Soo Jung Lee"/>
    <s v="789 29th Street"/>
    <s v="Denver"/>
    <s v="CO"/>
    <n v="99999"/>
    <s v="USA"/>
    <s v="Check"/>
    <x v="7"/>
    <x v="3"/>
    <n v="12.75"/>
    <n v="47"/>
    <x v="13"/>
    <n v="59.325749999999999"/>
  </r>
  <r>
    <n v="1378"/>
    <x v="139"/>
    <n v="3"/>
    <x v="5"/>
    <s v="123 3rd Street"/>
    <x v="4"/>
    <x v="4"/>
    <n v="99999"/>
    <s v="USA"/>
    <x v="0"/>
    <x v="0"/>
    <n v="41978"/>
    <s v="Shipping Company B"/>
    <s v="Thomas Axerr"/>
    <s v="123 3rd Street"/>
    <s v="Los Angelas"/>
    <s v="CA"/>
    <n v="99999"/>
    <s v="USA"/>
    <s v="Cash"/>
    <x v="8"/>
    <x v="4"/>
    <n v="9.65"/>
    <n v="96"/>
    <x v="279"/>
    <n v="94.492800000000003"/>
  </r>
  <r>
    <n v="1379"/>
    <x v="140"/>
    <n v="6"/>
    <x v="6"/>
    <s v="123 6th Street"/>
    <x v="5"/>
    <x v="5"/>
    <n v="99999"/>
    <s v="USA"/>
    <x v="4"/>
    <x v="2"/>
    <n v="41981"/>
    <s v="Shipping Company B"/>
    <s v="Francisco Pérez-Olaeta"/>
    <s v="123 6th Street"/>
    <s v="Milwaukee"/>
    <s v="WI"/>
    <n v="99999"/>
    <s v="USA"/>
    <s v="Credit Card"/>
    <x v="9"/>
    <x v="5"/>
    <n v="40"/>
    <n v="32"/>
    <x v="11"/>
    <n v="134.4"/>
  </r>
  <r>
    <n v="1380"/>
    <x v="141"/>
    <n v="28"/>
    <x v="7"/>
    <s v="789 28th Street"/>
    <x v="6"/>
    <x v="6"/>
    <n v="99999"/>
    <s v="USA"/>
    <x v="5"/>
    <x v="3"/>
    <d v="2014-12-30T00:00:00"/>
    <s v="Shipping Company C"/>
    <s v="Amritansh Raghav"/>
    <s v="789 28th Street"/>
    <s v="Memphis"/>
    <s v="TN"/>
    <n v="99999"/>
    <s v="USA"/>
    <s v="Check"/>
    <x v="5"/>
    <x v="0"/>
    <n v="46"/>
    <n v="16"/>
    <x v="128"/>
    <n v="73.599999999999994"/>
  </r>
  <r>
    <n v="1381"/>
    <x v="137"/>
    <n v="8"/>
    <x v="3"/>
    <s v="123 8th Street"/>
    <x v="2"/>
    <x v="2"/>
    <n v="99999"/>
    <s v="USA"/>
    <x v="2"/>
    <x v="2"/>
    <d v="2014-12-10T00:00:00"/>
    <s v="Shipping Company C"/>
    <s v="Elizabeth Andersen"/>
    <s v="123 8th Street"/>
    <s v="Portland"/>
    <s v="OR"/>
    <n v="99999"/>
    <s v="USA"/>
    <s v="Check"/>
    <x v="7"/>
    <x v="3"/>
    <n v="12.75"/>
    <n v="41"/>
    <x v="87"/>
    <n v="51.229500000000002"/>
  </r>
  <r>
    <n v="1382"/>
    <x v="142"/>
    <n v="10"/>
    <x v="8"/>
    <s v="123 10th Street"/>
    <x v="7"/>
    <x v="7"/>
    <n v="99999"/>
    <s v="USA"/>
    <x v="6"/>
    <x v="1"/>
    <d v="2014-12-12T00:00:00"/>
    <s v="Shipping Company B"/>
    <s v="Roland Wacker"/>
    <s v="123 10th Street"/>
    <s v="Chicago"/>
    <s v="IL"/>
    <n v="99999"/>
    <s v="USA"/>
    <s v="Credit Card"/>
    <x v="10"/>
    <x v="0"/>
    <n v="2.99"/>
    <n v="41"/>
    <x v="280"/>
    <n v="12.87195"/>
  </r>
  <r>
    <n v="1383"/>
    <x v="143"/>
    <n v="7"/>
    <x v="9"/>
    <s v="123 7th Street"/>
    <x v="8"/>
    <x v="8"/>
    <n v="99999"/>
    <s v="USA"/>
    <x v="2"/>
    <x v="2"/>
    <m/>
    <m/>
    <s v="Ming-Yang Xie"/>
    <s v="123 7th Street"/>
    <s v="Boise"/>
    <s v="ID"/>
    <n v="99999"/>
    <s v="USA"/>
    <m/>
    <x v="5"/>
    <x v="0"/>
    <n v="46"/>
    <n v="41"/>
    <x v="281"/>
    <n v="194.25800000000001"/>
  </r>
  <r>
    <n v="1384"/>
    <x v="142"/>
    <n v="10"/>
    <x v="8"/>
    <s v="123 10th Street"/>
    <x v="7"/>
    <x v="7"/>
    <n v="99999"/>
    <s v="USA"/>
    <x v="6"/>
    <x v="1"/>
    <d v="2014-12-12T00:00:00"/>
    <s v="Shipping Company A"/>
    <s v="Roland Wacker"/>
    <s v="123 10th Street"/>
    <s v="Chicago"/>
    <s v="IL"/>
    <n v="99999"/>
    <s v="USA"/>
    <m/>
    <x v="11"/>
    <x v="6"/>
    <n v="25"/>
    <n v="94"/>
    <x v="282"/>
    <n v="235"/>
  </r>
  <r>
    <n v="1385"/>
    <x v="142"/>
    <n v="10"/>
    <x v="8"/>
    <s v="123 10th Street"/>
    <x v="7"/>
    <x v="7"/>
    <n v="99999"/>
    <s v="USA"/>
    <x v="6"/>
    <x v="1"/>
    <d v="2014-12-12T00:00:00"/>
    <s v="Shipping Company A"/>
    <s v="Roland Wacker"/>
    <s v="123 10th Street"/>
    <s v="Chicago"/>
    <s v="IL"/>
    <n v="99999"/>
    <s v="USA"/>
    <m/>
    <x v="12"/>
    <x v="7"/>
    <n v="22"/>
    <n v="20"/>
    <x v="283"/>
    <n v="46.2"/>
  </r>
  <r>
    <n v="1386"/>
    <x v="142"/>
    <n v="10"/>
    <x v="8"/>
    <s v="123 10th Street"/>
    <x v="7"/>
    <x v="7"/>
    <n v="99999"/>
    <s v="USA"/>
    <x v="6"/>
    <x v="1"/>
    <n v="41985"/>
    <s v="Shipping Company A"/>
    <s v="Roland Wacker"/>
    <s v="123 10th Street"/>
    <s v="Chicago"/>
    <s v="IL"/>
    <n v="99999"/>
    <s v="USA"/>
    <m/>
    <x v="6"/>
    <x v="2"/>
    <n v="9.1999999999999993"/>
    <n v="13"/>
    <x v="284"/>
    <n v="12.4384"/>
  </r>
  <r>
    <n v="1387"/>
    <x v="144"/>
    <n v="11"/>
    <x v="10"/>
    <s v="123 11th Street"/>
    <x v="9"/>
    <x v="9"/>
    <n v="99999"/>
    <s v="USA"/>
    <x v="5"/>
    <x v="3"/>
    <m/>
    <s v="Shipping Company C"/>
    <s v="Peter Krschne"/>
    <s v="123 11th Street"/>
    <s v="Miami"/>
    <s v="FL"/>
    <n v="99999"/>
    <s v="USA"/>
    <m/>
    <x v="1"/>
    <x v="1"/>
    <n v="3.5"/>
    <n v="74"/>
    <x v="58"/>
    <n v="26.936"/>
  </r>
  <r>
    <n v="1388"/>
    <x v="144"/>
    <n v="11"/>
    <x v="10"/>
    <s v="123 11th Street"/>
    <x v="9"/>
    <x v="9"/>
    <n v="99999"/>
    <s v="USA"/>
    <x v="5"/>
    <x v="3"/>
    <m/>
    <s v="Shipping Company C"/>
    <s v="Peter Krschne"/>
    <s v="123 11th Street"/>
    <s v="Miami"/>
    <s v="FL"/>
    <n v="99999"/>
    <s v="USA"/>
    <m/>
    <x v="10"/>
    <x v="0"/>
    <n v="2.99"/>
    <n v="53"/>
    <x v="285"/>
    <n v="16.005469999999999"/>
  </r>
  <r>
    <n v="1389"/>
    <x v="145"/>
    <n v="1"/>
    <x v="11"/>
    <s v="123 1st Street"/>
    <x v="10"/>
    <x v="10"/>
    <n v="99999"/>
    <s v="USA"/>
    <x v="2"/>
    <x v="2"/>
    <m/>
    <m/>
    <s v="Anna Bedecs"/>
    <s v="123 1st Street"/>
    <s v="Seattle"/>
    <s v="WA"/>
    <n v="99999"/>
    <s v="USA"/>
    <m/>
    <x v="4"/>
    <x v="0"/>
    <n v="18"/>
    <n v="99"/>
    <x v="286"/>
    <n v="174.636"/>
  </r>
  <r>
    <n v="1390"/>
    <x v="145"/>
    <n v="1"/>
    <x v="11"/>
    <s v="123 1st Street"/>
    <x v="10"/>
    <x v="10"/>
    <n v="99999"/>
    <s v="USA"/>
    <x v="2"/>
    <x v="2"/>
    <m/>
    <m/>
    <s v="Anna Bedecs"/>
    <s v="123 1st Street"/>
    <s v="Seattle"/>
    <s v="WA"/>
    <n v="99999"/>
    <s v="USA"/>
    <m/>
    <x v="5"/>
    <x v="0"/>
    <n v="46"/>
    <n v="89"/>
    <x v="287"/>
    <n v="388.93"/>
  </r>
  <r>
    <n v="1391"/>
    <x v="145"/>
    <n v="1"/>
    <x v="11"/>
    <s v="123 1st Street"/>
    <x v="10"/>
    <x v="10"/>
    <n v="99999"/>
    <s v="USA"/>
    <x v="2"/>
    <x v="2"/>
    <m/>
    <m/>
    <s v="Anna Bedecs"/>
    <s v="123 1st Street"/>
    <s v="Seattle"/>
    <s v="WA"/>
    <n v="99999"/>
    <s v="USA"/>
    <m/>
    <x v="10"/>
    <x v="0"/>
    <n v="2.99"/>
    <n v="64"/>
    <x v="199"/>
    <n v="19.518719999999998"/>
  </r>
  <r>
    <n v="1392"/>
    <x v="141"/>
    <n v="28"/>
    <x v="7"/>
    <s v="789 28th Street"/>
    <x v="6"/>
    <x v="6"/>
    <n v="99999"/>
    <s v="USA"/>
    <x v="5"/>
    <x v="3"/>
    <d v="2014-12-30T00:00:00"/>
    <s v="Shipping Company C"/>
    <s v="Amritansh Raghav"/>
    <s v="789 28th Street"/>
    <s v="Memphis"/>
    <s v="TN"/>
    <n v="99999"/>
    <s v="USA"/>
    <s v="Credit Card"/>
    <x v="8"/>
    <x v="4"/>
    <n v="9.65"/>
    <n v="98"/>
    <x v="288"/>
    <n v="96.461399999999998"/>
  </r>
  <r>
    <n v="1393"/>
    <x v="141"/>
    <n v="28"/>
    <x v="7"/>
    <s v="789 28th Street"/>
    <x v="6"/>
    <x v="6"/>
    <n v="99999"/>
    <s v="USA"/>
    <x v="5"/>
    <x v="3"/>
    <d v="2014-12-30T00:00:00"/>
    <s v="Shipping Company C"/>
    <s v="Amritansh Raghav"/>
    <s v="789 28th Street"/>
    <s v="Memphis"/>
    <s v="TN"/>
    <n v="99999"/>
    <s v="USA"/>
    <s v="Credit Card"/>
    <x v="13"/>
    <x v="8"/>
    <n v="18.399999999999999"/>
    <n v="86"/>
    <x v="289"/>
    <n v="155.0752"/>
  </r>
  <r>
    <n v="1394"/>
    <x v="146"/>
    <n v="9"/>
    <x v="12"/>
    <s v="123 9th Street"/>
    <x v="11"/>
    <x v="11"/>
    <n v="99999"/>
    <s v="USA"/>
    <x v="7"/>
    <x v="0"/>
    <d v="2014-12-11T00:00:00"/>
    <s v="Shipping Company A"/>
    <s v="Sven Mortensen"/>
    <s v="123 9th Street"/>
    <s v="Salt Lake City"/>
    <s v="UT"/>
    <n v="99999"/>
    <s v="USA"/>
    <s v="Check"/>
    <x v="14"/>
    <x v="9"/>
    <n v="19.5"/>
    <n v="20"/>
    <x v="290"/>
    <n v="40.950000000000003"/>
  </r>
  <r>
    <n v="1395"/>
    <x v="146"/>
    <n v="9"/>
    <x v="12"/>
    <s v="123 9th Street"/>
    <x v="11"/>
    <x v="11"/>
    <n v="99999"/>
    <s v="USA"/>
    <x v="7"/>
    <x v="0"/>
    <d v="2014-12-11T00:00:00"/>
    <s v="Shipping Company A"/>
    <s v="Sven Mortensen"/>
    <s v="123 9th Street"/>
    <s v="Salt Lake City"/>
    <s v="UT"/>
    <n v="99999"/>
    <s v="USA"/>
    <s v="Check"/>
    <x v="15"/>
    <x v="10"/>
    <n v="34.799999999999997"/>
    <n v="69"/>
    <x v="291"/>
    <n v="240.12"/>
  </r>
  <r>
    <n v="1396"/>
    <x v="140"/>
    <n v="6"/>
    <x v="6"/>
    <s v="123 6th Street"/>
    <x v="5"/>
    <x v="5"/>
    <n v="99999"/>
    <s v="USA"/>
    <x v="4"/>
    <x v="2"/>
    <d v="2014-12-08T00:00:00"/>
    <s v="Shipping Company B"/>
    <s v="Francisco Pérez-Olaeta"/>
    <s v="123 6th Street"/>
    <s v="Milwaukee"/>
    <s v="WI"/>
    <n v="99999"/>
    <s v="USA"/>
    <s v="Credit Card"/>
    <x v="0"/>
    <x v="0"/>
    <n v="14"/>
    <n v="68"/>
    <x v="292"/>
    <n v="91.391999999999996"/>
  </r>
  <r>
    <n v="1397"/>
    <x v="137"/>
    <n v="8"/>
    <x v="3"/>
    <s v="123 8th Street"/>
    <x v="2"/>
    <x v="2"/>
    <n v="99999"/>
    <s v="USA"/>
    <x v="2"/>
    <x v="2"/>
    <d v="2014-12-10T00:00:00"/>
    <s v="Shipping Company B"/>
    <s v="Elizabeth Andersen"/>
    <s v="123 8th Street"/>
    <s v="Portland"/>
    <s v="OR"/>
    <n v="99999"/>
    <s v="USA"/>
    <s v="Check"/>
    <x v="9"/>
    <x v="5"/>
    <n v="40"/>
    <n v="52"/>
    <x v="293"/>
    <n v="203.84"/>
  </r>
  <r>
    <n v="1398"/>
    <x v="137"/>
    <n v="8"/>
    <x v="3"/>
    <s v="123 8th Street"/>
    <x v="2"/>
    <x v="2"/>
    <n v="99999"/>
    <s v="USA"/>
    <x v="2"/>
    <x v="2"/>
    <d v="2014-12-10T00:00:00"/>
    <s v="Shipping Company B"/>
    <s v="Elizabeth Andersen"/>
    <s v="123 8th Street"/>
    <s v="Portland"/>
    <s v="OR"/>
    <n v="99999"/>
    <s v="USA"/>
    <s v="Check"/>
    <x v="6"/>
    <x v="2"/>
    <n v="9.1999999999999993"/>
    <n v="40"/>
    <x v="294"/>
    <n v="38.64"/>
  </r>
  <r>
    <n v="1399"/>
    <x v="147"/>
    <n v="25"/>
    <x v="13"/>
    <s v="789 25th Street"/>
    <x v="7"/>
    <x v="7"/>
    <n v="99999"/>
    <s v="USA"/>
    <x v="6"/>
    <x v="1"/>
    <d v="2014-12-27T00:00:00"/>
    <s v="Shipping Company A"/>
    <s v="John Rodman"/>
    <s v="789 25th Street"/>
    <s v="Chicago"/>
    <s v="IL"/>
    <n v="99999"/>
    <s v="USA"/>
    <s v="Cash"/>
    <x v="21"/>
    <x v="2"/>
    <n v="10"/>
    <n v="100"/>
    <x v="115"/>
    <n v="98"/>
  </r>
  <r>
    <n v="1400"/>
    <x v="148"/>
    <n v="26"/>
    <x v="14"/>
    <s v="789 26th Street"/>
    <x v="9"/>
    <x v="9"/>
    <n v="99999"/>
    <s v="USA"/>
    <x v="5"/>
    <x v="3"/>
    <d v="2014-12-28T00:00:00"/>
    <s v="Shipping Company C"/>
    <s v="Run Liu"/>
    <s v="789 26th Street"/>
    <s v="Miami"/>
    <s v="FL"/>
    <n v="99999"/>
    <s v="USA"/>
    <s v="Credit Card"/>
    <x v="22"/>
    <x v="13"/>
    <n v="21.35"/>
    <n v="88"/>
    <x v="295"/>
    <n v="184.1224"/>
  </r>
  <r>
    <n v="1401"/>
    <x v="148"/>
    <n v="26"/>
    <x v="14"/>
    <s v="789 26th Street"/>
    <x v="9"/>
    <x v="9"/>
    <n v="99999"/>
    <s v="USA"/>
    <x v="5"/>
    <x v="3"/>
    <d v="2014-12-28T00:00:00"/>
    <s v="Shipping Company C"/>
    <s v="Run Liu"/>
    <s v="789 26th Street"/>
    <s v="Miami"/>
    <s v="FL"/>
    <n v="99999"/>
    <s v="USA"/>
    <s v="Credit Card"/>
    <x v="8"/>
    <x v="4"/>
    <n v="9.65"/>
    <n v="46"/>
    <x v="255"/>
    <n v="42.614400000000003"/>
  </r>
  <r>
    <n v="1402"/>
    <x v="148"/>
    <n v="26"/>
    <x v="14"/>
    <s v="789 26th Street"/>
    <x v="9"/>
    <x v="9"/>
    <n v="99999"/>
    <s v="USA"/>
    <x v="5"/>
    <x v="3"/>
    <d v="2014-12-28T00:00:00"/>
    <s v="Shipping Company C"/>
    <s v="Run Liu"/>
    <s v="789 26th Street"/>
    <s v="Miami"/>
    <s v="FL"/>
    <n v="99999"/>
    <s v="USA"/>
    <s v="Credit Card"/>
    <x v="13"/>
    <x v="8"/>
    <n v="18.399999999999999"/>
    <n v="93"/>
    <x v="296"/>
    <n v="167.69759999999999"/>
  </r>
  <r>
    <n v="1403"/>
    <x v="138"/>
    <n v="29"/>
    <x v="4"/>
    <s v="789 29th Street"/>
    <x v="3"/>
    <x v="3"/>
    <n v="99999"/>
    <s v="USA"/>
    <x v="3"/>
    <x v="0"/>
    <d v="2014-12-31T00:00:00"/>
    <s v="Shipping Company B"/>
    <s v="Soo Jung Lee"/>
    <s v="789 29th Street"/>
    <s v="Denver"/>
    <s v="CO"/>
    <n v="99999"/>
    <s v="USA"/>
    <s v="Check"/>
    <x v="0"/>
    <x v="0"/>
    <n v="14"/>
    <n v="96"/>
    <x v="297"/>
    <n v="141.12"/>
  </r>
  <r>
    <n v="1404"/>
    <x v="140"/>
    <n v="6"/>
    <x v="6"/>
    <s v="123 6th Street"/>
    <x v="5"/>
    <x v="5"/>
    <n v="99999"/>
    <s v="USA"/>
    <x v="4"/>
    <x v="2"/>
    <d v="2014-12-08T00:00:00"/>
    <s v="Shipping Company C"/>
    <s v="Francisco Pérez-Olaeta"/>
    <s v="123 6th Street"/>
    <s v="Milwaukee"/>
    <s v="WI"/>
    <n v="99999"/>
    <s v="USA"/>
    <s v="Check"/>
    <x v="7"/>
    <x v="3"/>
    <n v="12.75"/>
    <n v="12"/>
    <x v="298"/>
    <n v="16.065000000000001"/>
  </r>
  <r>
    <n v="1406"/>
    <x v="135"/>
    <n v="4"/>
    <x v="1"/>
    <s v="123 4th Street"/>
    <x v="1"/>
    <x v="1"/>
    <n v="99999"/>
    <s v="USA"/>
    <x v="1"/>
    <x v="1"/>
    <d v="2014-12-06T00:00:00"/>
    <s v="Shipping Company A"/>
    <s v="Christina Lee"/>
    <s v="123 4th Street"/>
    <s v="New York"/>
    <s v="NY"/>
    <n v="99999"/>
    <s v="USA"/>
    <s v="Credit Card"/>
    <x v="23"/>
    <x v="6"/>
    <n v="81"/>
    <n v="38"/>
    <x v="299"/>
    <n v="292.41000000000003"/>
  </r>
  <r>
    <n v="1407"/>
    <x v="135"/>
    <n v="4"/>
    <x v="1"/>
    <s v="123 4th Street"/>
    <x v="1"/>
    <x v="1"/>
    <n v="99999"/>
    <s v="USA"/>
    <x v="1"/>
    <x v="1"/>
    <d v="2014-12-06T00:00:00"/>
    <s v="Shipping Company A"/>
    <s v="Christina Lee"/>
    <s v="123 4th Street"/>
    <s v="New York"/>
    <s v="NY"/>
    <n v="99999"/>
    <s v="USA"/>
    <s v="Credit Card"/>
    <x v="24"/>
    <x v="14"/>
    <n v="7"/>
    <n v="42"/>
    <x v="107"/>
    <n v="29.106000000000002"/>
  </r>
  <r>
    <n v="1409"/>
    <x v="137"/>
    <n v="8"/>
    <x v="3"/>
    <s v="123 8th Street"/>
    <x v="2"/>
    <x v="2"/>
    <n v="99999"/>
    <s v="USA"/>
    <x v="2"/>
    <x v="2"/>
    <d v="2014-12-10T00:00:00"/>
    <s v="Shipping Company C"/>
    <s v="Elizabeth Andersen"/>
    <s v="123 8th Street"/>
    <s v="Portland"/>
    <s v="OR"/>
    <n v="99999"/>
    <s v="USA"/>
    <s v="Credit Card"/>
    <x v="15"/>
    <x v="10"/>
    <n v="34.799999999999997"/>
    <n v="100"/>
    <x v="300"/>
    <n v="344.52"/>
  </r>
  <r>
    <n v="1412"/>
    <x v="139"/>
    <n v="3"/>
    <x v="5"/>
    <s v="123 3rd Street"/>
    <x v="4"/>
    <x v="4"/>
    <n v="99999"/>
    <s v="USA"/>
    <x v="0"/>
    <x v="0"/>
    <d v="2014-12-05T00:00:00"/>
    <s v="Shipping Company B"/>
    <s v="Thomas Axerr"/>
    <s v="123 3rd Street"/>
    <s v="Los Angelas"/>
    <s v="CA"/>
    <n v="99999"/>
    <s v="USA"/>
    <s v="Cash"/>
    <x v="16"/>
    <x v="7"/>
    <n v="10"/>
    <n v="89"/>
    <x v="301"/>
    <n v="87.22"/>
  </r>
  <r>
    <n v="1413"/>
    <x v="139"/>
    <n v="3"/>
    <x v="5"/>
    <s v="123 3rd Street"/>
    <x v="4"/>
    <x v="4"/>
    <n v="99999"/>
    <s v="USA"/>
    <x v="0"/>
    <x v="0"/>
    <d v="2014-12-05T00:00:00"/>
    <s v="Shipping Company B"/>
    <s v="Thomas Axerr"/>
    <s v="123 3rd Street"/>
    <s v="Los Angelas"/>
    <s v="CA"/>
    <n v="99999"/>
    <s v="USA"/>
    <s v="Cash"/>
    <x v="9"/>
    <x v="5"/>
    <n v="40"/>
    <n v="12"/>
    <x v="60"/>
    <n v="46.56"/>
  </r>
  <r>
    <n v="1417"/>
    <x v="142"/>
    <n v="10"/>
    <x v="8"/>
    <s v="123 10th Street"/>
    <x v="7"/>
    <x v="7"/>
    <n v="99999"/>
    <s v="USA"/>
    <x v="6"/>
    <x v="1"/>
    <d v="2014-12-12T00:00:00"/>
    <s v="Shipping Company B"/>
    <s v="Roland Wacker"/>
    <s v="123 10th Street"/>
    <s v="Chicago"/>
    <s v="IL"/>
    <n v="99999"/>
    <s v="USA"/>
    <s v="Credit Card"/>
    <x v="18"/>
    <x v="1"/>
    <n v="10"/>
    <n v="97"/>
    <x v="302"/>
    <n v="100.88"/>
  </r>
  <r>
    <n v="1419"/>
    <x v="142"/>
    <n v="10"/>
    <x v="8"/>
    <s v="123 10th Street"/>
    <x v="7"/>
    <x v="7"/>
    <n v="99999"/>
    <s v="USA"/>
    <x v="6"/>
    <x v="1"/>
    <m/>
    <s v="Shipping Company A"/>
    <s v="Roland Wacker"/>
    <s v="123 10th Street"/>
    <s v="Chicago"/>
    <s v="IL"/>
    <n v="99999"/>
    <s v="USA"/>
    <m/>
    <x v="1"/>
    <x v="1"/>
    <n v="3.5"/>
    <n v="53"/>
    <x v="303"/>
    <n v="17.622499999999999"/>
  </r>
  <r>
    <n v="1420"/>
    <x v="144"/>
    <n v="11"/>
    <x v="10"/>
    <s v="123 11th Street"/>
    <x v="9"/>
    <x v="9"/>
    <n v="99999"/>
    <s v="USA"/>
    <x v="5"/>
    <x v="3"/>
    <m/>
    <s v="Shipping Company C"/>
    <s v="Peter Krschne"/>
    <s v="123 11th Street"/>
    <s v="Miami"/>
    <s v="FL"/>
    <n v="99999"/>
    <s v="USA"/>
    <m/>
    <x v="9"/>
    <x v="5"/>
    <n v="40"/>
    <n v="61"/>
    <x v="304"/>
    <n v="248.88"/>
  </r>
  <r>
    <n v="1421"/>
    <x v="145"/>
    <n v="1"/>
    <x v="11"/>
    <s v="123 1st Street"/>
    <x v="10"/>
    <x v="10"/>
    <n v="99999"/>
    <s v="USA"/>
    <x v="2"/>
    <x v="2"/>
    <m/>
    <s v="Shipping Company C"/>
    <s v="Anna Bedecs"/>
    <s v="123 1st Street"/>
    <s v="Seattle"/>
    <s v="WA"/>
    <n v="99999"/>
    <s v="USA"/>
    <m/>
    <x v="13"/>
    <x v="8"/>
    <n v="18.399999999999999"/>
    <n v="45"/>
    <x v="305"/>
    <n v="81.144000000000005"/>
  </r>
  <r>
    <n v="1422"/>
    <x v="141"/>
    <n v="28"/>
    <x v="7"/>
    <s v="789 28th Street"/>
    <x v="6"/>
    <x v="6"/>
    <n v="99999"/>
    <s v="USA"/>
    <x v="5"/>
    <x v="3"/>
    <d v="2014-12-30T00:00:00"/>
    <s v="Shipping Company C"/>
    <s v="Amritansh Raghav"/>
    <s v="789 28th Street"/>
    <s v="Memphis"/>
    <s v="TN"/>
    <n v="99999"/>
    <s v="USA"/>
    <s v="Credit Card"/>
    <x v="5"/>
    <x v="0"/>
    <n v="46"/>
    <n v="43"/>
    <x v="306"/>
    <n v="197.8"/>
  </r>
  <r>
    <n v="1423"/>
    <x v="146"/>
    <n v="9"/>
    <x v="12"/>
    <s v="123 9th Street"/>
    <x v="11"/>
    <x v="11"/>
    <n v="99999"/>
    <s v="USA"/>
    <x v="7"/>
    <x v="0"/>
    <d v="2014-12-11T00:00:00"/>
    <s v="Shipping Company A"/>
    <s v="Sven Mortensen"/>
    <s v="123 9th Street"/>
    <s v="Salt Lake City"/>
    <s v="UT"/>
    <n v="99999"/>
    <s v="USA"/>
    <s v="Check"/>
    <x v="8"/>
    <x v="4"/>
    <n v="9.65"/>
    <n v="18"/>
    <x v="307"/>
    <n v="16.5015"/>
  </r>
  <r>
    <n v="1424"/>
    <x v="140"/>
    <n v="6"/>
    <x v="6"/>
    <s v="123 6th Street"/>
    <x v="5"/>
    <x v="5"/>
    <n v="99999"/>
    <s v="USA"/>
    <x v="4"/>
    <x v="2"/>
    <d v="2014-12-08T00:00:00"/>
    <s v="Shipping Company B"/>
    <s v="Francisco Pérez-Olaeta"/>
    <s v="123 6th Street"/>
    <s v="Milwaukee"/>
    <s v="WI"/>
    <n v="99999"/>
    <s v="USA"/>
    <s v="Credit Card"/>
    <x v="7"/>
    <x v="3"/>
    <n v="12.75"/>
    <n v="41"/>
    <x v="87"/>
    <n v="50.70675"/>
  </r>
  <r>
    <n v="1425"/>
    <x v="137"/>
    <n v="8"/>
    <x v="3"/>
    <s v="123 8th Street"/>
    <x v="2"/>
    <x v="2"/>
    <n v="99999"/>
    <s v="USA"/>
    <x v="2"/>
    <x v="2"/>
    <n v="41983"/>
    <s v="Shipping Company B"/>
    <s v="Elizabeth Andersen"/>
    <s v="123 8th Street"/>
    <s v="Portland"/>
    <s v="OR"/>
    <n v="99999"/>
    <s v="USA"/>
    <s v="Check"/>
    <x v="7"/>
    <x v="3"/>
    <n v="12.75"/>
    <n v="19"/>
    <x v="108"/>
    <n v="23.982749999999999"/>
  </r>
  <r>
    <n v="1426"/>
    <x v="147"/>
    <n v="25"/>
    <x v="13"/>
    <s v="789 25th Street"/>
    <x v="7"/>
    <x v="7"/>
    <n v="99999"/>
    <s v="USA"/>
    <x v="6"/>
    <x v="1"/>
    <n v="42000"/>
    <s v="Shipping Company A"/>
    <s v="John Rodman"/>
    <s v="789 25th Street"/>
    <s v="Chicago"/>
    <s v="IL"/>
    <n v="99999"/>
    <s v="USA"/>
    <s v="Cash"/>
    <x v="12"/>
    <x v="7"/>
    <n v="22"/>
    <n v="65"/>
    <x v="308"/>
    <n v="138.71"/>
  </r>
  <r>
    <n v="1427"/>
    <x v="148"/>
    <n v="26"/>
    <x v="14"/>
    <s v="789 26th Street"/>
    <x v="9"/>
    <x v="9"/>
    <n v="99999"/>
    <s v="USA"/>
    <x v="5"/>
    <x v="3"/>
    <n v="42001"/>
    <s v="Shipping Company C"/>
    <s v="Run Liu"/>
    <s v="789 26th Street"/>
    <s v="Miami"/>
    <s v="FL"/>
    <n v="99999"/>
    <s v="USA"/>
    <s v="Credit Card"/>
    <x v="11"/>
    <x v="6"/>
    <n v="25"/>
    <n v="13"/>
    <x v="309"/>
    <n v="32.174999999999997"/>
  </r>
  <r>
    <n v="1428"/>
    <x v="138"/>
    <n v="29"/>
    <x v="4"/>
    <s v="789 29th Street"/>
    <x v="3"/>
    <x v="3"/>
    <n v="99999"/>
    <s v="USA"/>
    <x v="3"/>
    <x v="0"/>
    <n v="42004"/>
    <s v="Shipping Company B"/>
    <s v="Soo Jung Lee"/>
    <s v="789 29th Street"/>
    <s v="Denver"/>
    <s v="CO"/>
    <n v="99999"/>
    <s v="USA"/>
    <s v="Check"/>
    <x v="19"/>
    <x v="12"/>
    <n v="39"/>
    <n v="54"/>
    <x v="310"/>
    <n v="214.81200000000001"/>
  </r>
  <r>
    <n v="1429"/>
    <x v="140"/>
    <n v="6"/>
    <x v="6"/>
    <s v="123 6th Street"/>
    <x v="5"/>
    <x v="5"/>
    <n v="99999"/>
    <s v="USA"/>
    <x v="4"/>
    <x v="2"/>
    <d v="2014-12-08T00:00:00"/>
    <s v="Shipping Company C"/>
    <s v="Francisco Pérez-Olaeta"/>
    <s v="123 6th Street"/>
    <s v="Milwaukee"/>
    <s v="WI"/>
    <n v="99999"/>
    <s v="USA"/>
    <s v="Check"/>
    <x v="2"/>
    <x v="1"/>
    <n v="30"/>
    <n v="33"/>
    <x v="82"/>
    <n v="95.04"/>
  </r>
  <r>
    <n v="1430"/>
    <x v="140"/>
    <n v="6"/>
    <x v="6"/>
    <s v="123 6th Street"/>
    <x v="5"/>
    <x v="5"/>
    <n v="99999"/>
    <s v="USA"/>
    <x v="4"/>
    <x v="2"/>
    <d v="2014-12-08T00:00:00"/>
    <s v="Shipping Company C"/>
    <s v="Francisco Pérez-Olaeta"/>
    <s v="123 6th Street"/>
    <s v="Milwaukee"/>
    <s v="WI"/>
    <n v="99999"/>
    <s v="USA"/>
    <s v="Check"/>
    <x v="3"/>
    <x v="1"/>
    <n v="53"/>
    <n v="34"/>
    <x v="311"/>
    <n v="185.60599999999999"/>
  </r>
  <r>
    <n v="1431"/>
    <x v="135"/>
    <n v="4"/>
    <x v="1"/>
    <s v="123 4th Street"/>
    <x v="1"/>
    <x v="1"/>
    <n v="99999"/>
    <s v="USA"/>
    <x v="1"/>
    <x v="1"/>
    <m/>
    <m/>
    <s v="Christina Lee"/>
    <s v="123 4th Street"/>
    <s v="New York"/>
    <s v="NY"/>
    <n v="99999"/>
    <s v="USA"/>
    <m/>
    <x v="20"/>
    <x v="9"/>
    <n v="38"/>
    <n v="59"/>
    <x v="312"/>
    <n v="226.44200000000001"/>
  </r>
  <r>
    <n v="1432"/>
    <x v="139"/>
    <n v="3"/>
    <x v="5"/>
    <s v="123 3rd Street"/>
    <x v="4"/>
    <x v="4"/>
    <n v="99999"/>
    <s v="USA"/>
    <x v="0"/>
    <x v="0"/>
    <m/>
    <m/>
    <s v="Thomas Axerr"/>
    <s v="123 3rd Street"/>
    <s v="Los Angelas"/>
    <s v="CA"/>
    <n v="99999"/>
    <s v="USA"/>
    <m/>
    <x v="10"/>
    <x v="0"/>
    <n v="2.99"/>
    <n v="24"/>
    <x v="313"/>
    <n v="7.10423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CF9A37-E1EB-476F-8CC9-CACD29B805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3"/>
  </rowFields>
  <rowItems count="16">
    <i>
      <x v="5"/>
    </i>
    <i>
      <x v="8"/>
    </i>
    <i>
      <x v="2"/>
    </i>
    <i>
      <x v="6"/>
    </i>
    <i>
      <x/>
    </i>
    <i>
      <x v="9"/>
    </i>
    <i>
      <x v="10"/>
    </i>
    <i>
      <x v="14"/>
    </i>
    <i>
      <x v="3"/>
    </i>
    <i>
      <x v="11"/>
    </i>
    <i>
      <x v="7"/>
    </i>
    <i>
      <x v="4"/>
    </i>
    <i>
      <x v="12"/>
    </i>
    <i>
      <x v="13"/>
    </i>
    <i>
      <x v="1"/>
    </i>
    <i t="grand">
      <x/>
    </i>
  </rowItems>
  <colItems count="1">
    <i/>
  </colItems>
  <dataFields count="1">
    <dataField name="Sum of Revenue" fld="24" baseField="0" baseItem="0" numFmtId="166"/>
  </dataFields>
  <chartFormats count="3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5"/>
          </reference>
        </references>
      </pivotArea>
    </chartFormat>
    <chartFormat chart="2" format="2">
      <pivotArea type="data" outline="0" fieldPosition="0">
        <references count="2">
          <reference field="4294967294" count="1" selected="0">
            <x v="0"/>
          </reference>
          <reference field="3" count="1" selected="0">
            <x v="8"/>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6"/>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9"/>
          </reference>
        </references>
      </pivotArea>
    </chartFormat>
    <chartFormat chart="2" format="7">
      <pivotArea type="data" outline="0" fieldPosition="0">
        <references count="2">
          <reference field="4294967294" count="1" selected="0">
            <x v="0"/>
          </reference>
          <reference field="3" count="1" selected="0">
            <x v="10"/>
          </reference>
        </references>
      </pivotArea>
    </chartFormat>
    <chartFormat chart="2" format="8">
      <pivotArea type="data" outline="0" fieldPosition="0">
        <references count="2">
          <reference field="4294967294" count="1" selected="0">
            <x v="0"/>
          </reference>
          <reference field="3" count="1" selected="0">
            <x v="14"/>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2" format="10">
      <pivotArea type="data" outline="0" fieldPosition="0">
        <references count="2">
          <reference field="4294967294" count="1" selected="0">
            <x v="0"/>
          </reference>
          <reference field="3" count="1" selected="0">
            <x v="11"/>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3" count="1" selected="0">
            <x v="5"/>
          </reference>
        </references>
      </pivotArea>
    </chartFormat>
    <chartFormat chart="4" format="13">
      <pivotArea type="data" outline="0" fieldPosition="0">
        <references count="2">
          <reference field="4294967294" count="1" selected="0">
            <x v="0"/>
          </reference>
          <reference field="3" count="1" selected="0">
            <x v="8"/>
          </reference>
        </references>
      </pivotArea>
    </chartFormat>
    <chartFormat chart="4" format="14">
      <pivotArea type="data" outline="0" fieldPosition="0">
        <references count="2">
          <reference field="4294967294" count="1" selected="0">
            <x v="0"/>
          </reference>
          <reference field="3" count="1" selected="0">
            <x v="2"/>
          </reference>
        </references>
      </pivotArea>
    </chartFormat>
    <chartFormat chart="4" format="15">
      <pivotArea type="data" outline="0" fieldPosition="0">
        <references count="2">
          <reference field="4294967294" count="1" selected="0">
            <x v="0"/>
          </reference>
          <reference field="3" count="1" selected="0">
            <x v="6"/>
          </reference>
        </references>
      </pivotArea>
    </chartFormat>
    <chartFormat chart="4" format="16">
      <pivotArea type="data" outline="0" fieldPosition="0">
        <references count="2">
          <reference field="4294967294" count="1" selected="0">
            <x v="0"/>
          </reference>
          <reference field="3" count="1" selected="0">
            <x v="0"/>
          </reference>
        </references>
      </pivotArea>
    </chartFormat>
    <chartFormat chart="4" format="17">
      <pivotArea type="data" outline="0" fieldPosition="0">
        <references count="2">
          <reference field="4294967294" count="1" selected="0">
            <x v="0"/>
          </reference>
          <reference field="3" count="1" selected="0">
            <x v="9"/>
          </reference>
        </references>
      </pivotArea>
    </chartFormat>
    <chartFormat chart="4" format="18">
      <pivotArea type="data" outline="0" fieldPosition="0">
        <references count="2">
          <reference field="4294967294" count="1" selected="0">
            <x v="0"/>
          </reference>
          <reference field="3" count="1" selected="0">
            <x v="10"/>
          </reference>
        </references>
      </pivotArea>
    </chartFormat>
    <chartFormat chart="4" format="19">
      <pivotArea type="data" outline="0" fieldPosition="0">
        <references count="2">
          <reference field="4294967294" count="1" selected="0">
            <x v="0"/>
          </reference>
          <reference field="3" count="1" selected="0">
            <x v="14"/>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4" format="21">
      <pivotArea type="data" outline="0" fieldPosition="0">
        <references count="2">
          <reference field="4294967294" count="1" selected="0">
            <x v="0"/>
          </reference>
          <reference field="3" count="1" selected="0">
            <x v="11"/>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5"/>
          </reference>
        </references>
      </pivotArea>
    </chartFormat>
    <chartFormat chart="5" format="24">
      <pivotArea type="data" outline="0" fieldPosition="0">
        <references count="2">
          <reference field="4294967294" count="1" selected="0">
            <x v="0"/>
          </reference>
          <reference field="3" count="1" selected="0">
            <x v="8"/>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6"/>
          </reference>
        </references>
      </pivotArea>
    </chartFormat>
    <chartFormat chart="5" format="27">
      <pivotArea type="data" outline="0" fieldPosition="0">
        <references count="2">
          <reference field="4294967294" count="1" selected="0">
            <x v="0"/>
          </reference>
          <reference field="3" count="1" selected="0">
            <x v="0"/>
          </reference>
        </references>
      </pivotArea>
    </chartFormat>
    <chartFormat chart="5" format="28">
      <pivotArea type="data" outline="0" fieldPosition="0">
        <references count="2">
          <reference field="4294967294" count="1" selected="0">
            <x v="0"/>
          </reference>
          <reference field="3" count="1" selected="0">
            <x v="9"/>
          </reference>
        </references>
      </pivotArea>
    </chartFormat>
    <chartFormat chart="5" format="29">
      <pivotArea type="data" outline="0" fieldPosition="0">
        <references count="2">
          <reference field="4294967294" count="1" selected="0">
            <x v="0"/>
          </reference>
          <reference field="3" count="1" selected="0">
            <x v="10"/>
          </reference>
        </references>
      </pivotArea>
    </chartFormat>
    <chartFormat chart="5" format="30">
      <pivotArea type="data" outline="0" fieldPosition="0">
        <references count="2">
          <reference field="4294967294" count="1" selected="0">
            <x v="0"/>
          </reference>
          <reference field="3" count="1" selected="0">
            <x v="14"/>
          </reference>
        </references>
      </pivotArea>
    </chartFormat>
    <chartFormat chart="5" format="31">
      <pivotArea type="data" outline="0" fieldPosition="0">
        <references count="2">
          <reference field="4294967294" count="1" selected="0">
            <x v="0"/>
          </reference>
          <reference field="3" count="1" selected="0">
            <x v="3"/>
          </reference>
        </references>
      </pivotArea>
    </chartFormat>
    <chartFormat chart="5" format="32">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29549-A096-410E-8D5F-68E41B5C37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9"/>
  </rowFields>
  <rowItems count="9">
    <i>
      <x v="6"/>
    </i>
    <i>
      <x v="1"/>
    </i>
    <i>
      <x/>
    </i>
    <i>
      <x v="4"/>
    </i>
    <i>
      <x v="3"/>
    </i>
    <i>
      <x v="5"/>
    </i>
    <i>
      <x v="7"/>
    </i>
    <i>
      <x v="2"/>
    </i>
    <i t="grand">
      <x/>
    </i>
  </rowItems>
  <colItems count="1">
    <i/>
  </colItems>
  <dataFields count="1">
    <dataField name="Sum of Revenue" fld="24" baseField="0" baseItem="0" numFmtId="166"/>
  </dataFields>
  <chartFormats count="19">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9" count="1" selected="0">
            <x v="6"/>
          </reference>
        </references>
      </pivotArea>
    </chartFormat>
    <chartFormat chart="3" format="23">
      <pivotArea type="data" outline="0" fieldPosition="0">
        <references count="2">
          <reference field="4294967294" count="1" selected="0">
            <x v="0"/>
          </reference>
          <reference field="9" count="1" selected="0">
            <x v="1"/>
          </reference>
        </references>
      </pivotArea>
    </chartFormat>
    <chartFormat chart="3" format="24">
      <pivotArea type="data" outline="0" fieldPosition="0">
        <references count="2">
          <reference field="4294967294" count="1" selected="0">
            <x v="0"/>
          </reference>
          <reference field="9" count="1" selected="0">
            <x v="0"/>
          </reference>
        </references>
      </pivotArea>
    </chartFormat>
    <chartFormat chart="3" format="25">
      <pivotArea type="data" outline="0" fieldPosition="0">
        <references count="2">
          <reference field="4294967294" count="1" selected="0">
            <x v="0"/>
          </reference>
          <reference field="9" count="1" selected="0">
            <x v="4"/>
          </reference>
        </references>
      </pivotArea>
    </chartFormat>
    <chartFormat chart="3" format="26">
      <pivotArea type="data" outline="0" fieldPosition="0">
        <references count="2">
          <reference field="4294967294" count="1" selected="0">
            <x v="0"/>
          </reference>
          <reference field="9" count="1" selected="0">
            <x v="3"/>
          </reference>
        </references>
      </pivotArea>
    </chartFormat>
    <chartFormat chart="3" format="27">
      <pivotArea type="data" outline="0" fieldPosition="0">
        <references count="2">
          <reference field="4294967294" count="1" selected="0">
            <x v="0"/>
          </reference>
          <reference field="9" count="1" selected="0">
            <x v="5"/>
          </reference>
        </references>
      </pivotArea>
    </chartFormat>
    <chartFormat chart="3" format="28">
      <pivotArea type="data" outline="0" fieldPosition="0">
        <references count="2">
          <reference field="4294967294" count="1" selected="0">
            <x v="0"/>
          </reference>
          <reference field="9" count="1" selected="0">
            <x v="7"/>
          </reference>
        </references>
      </pivotArea>
    </chartFormat>
    <chartFormat chart="3" format="29">
      <pivotArea type="data" outline="0" fieldPosition="0">
        <references count="2">
          <reference field="4294967294" count="1" selected="0">
            <x v="0"/>
          </reference>
          <reference field="9" count="1" selected="0">
            <x v="2"/>
          </reference>
        </references>
      </pivotArea>
    </chartFormat>
    <chartFormat chart="5" format="39" series="1">
      <pivotArea type="data" outline="0" fieldPosition="0">
        <references count="1">
          <reference field="4294967294" count="1" selected="0">
            <x v="0"/>
          </reference>
        </references>
      </pivotArea>
    </chartFormat>
    <chartFormat chart="5" format="40">
      <pivotArea type="data" outline="0" fieldPosition="0">
        <references count="2">
          <reference field="4294967294" count="1" selected="0">
            <x v="0"/>
          </reference>
          <reference field="9" count="1" selected="0">
            <x v="6"/>
          </reference>
        </references>
      </pivotArea>
    </chartFormat>
    <chartFormat chart="5" format="41">
      <pivotArea type="data" outline="0" fieldPosition="0">
        <references count="2">
          <reference field="4294967294" count="1" selected="0">
            <x v="0"/>
          </reference>
          <reference field="9" count="1" selected="0">
            <x v="1"/>
          </reference>
        </references>
      </pivotArea>
    </chartFormat>
    <chartFormat chart="5" format="42">
      <pivotArea type="data" outline="0" fieldPosition="0">
        <references count="2">
          <reference field="4294967294" count="1" selected="0">
            <x v="0"/>
          </reference>
          <reference field="9" count="1" selected="0">
            <x v="0"/>
          </reference>
        </references>
      </pivotArea>
    </chartFormat>
    <chartFormat chart="5" format="43">
      <pivotArea type="data" outline="0" fieldPosition="0">
        <references count="2">
          <reference field="4294967294" count="1" selected="0">
            <x v="0"/>
          </reference>
          <reference field="9" count="1" selected="0">
            <x v="4"/>
          </reference>
        </references>
      </pivotArea>
    </chartFormat>
    <chartFormat chart="5" format="44">
      <pivotArea type="data" outline="0" fieldPosition="0">
        <references count="2">
          <reference field="4294967294" count="1" selected="0">
            <x v="0"/>
          </reference>
          <reference field="9" count="1" selected="0">
            <x v="3"/>
          </reference>
        </references>
      </pivotArea>
    </chartFormat>
    <chartFormat chart="5" format="45">
      <pivotArea type="data" outline="0" fieldPosition="0">
        <references count="2">
          <reference field="4294967294" count="1" selected="0">
            <x v="0"/>
          </reference>
          <reference field="9" count="1" selected="0">
            <x v="5"/>
          </reference>
        </references>
      </pivotArea>
    </chartFormat>
    <chartFormat chart="5" format="46">
      <pivotArea type="data" outline="0" fieldPosition="0">
        <references count="2">
          <reference field="4294967294" count="1" selected="0">
            <x v="0"/>
          </reference>
          <reference field="9" count="1" selected="0">
            <x v="7"/>
          </reference>
        </references>
      </pivotArea>
    </chartFormat>
    <chartFormat chart="5" format="4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38541-F3DB-49CA-A7CC-D094427094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showDataAs="percentOfTotal" baseField="0" baseItem="0" numFmtId="10"/>
  </dataFields>
  <chartFormats count="12">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4" format="39">
      <pivotArea type="data" outline="0" fieldPosition="0">
        <references count="2">
          <reference field="4294967294" count="1" selected="0">
            <x v="0"/>
          </reference>
          <reference field="10" count="1" selected="0">
            <x v="0"/>
          </reference>
        </references>
      </pivotArea>
    </chartFormat>
    <chartFormat chart="4" format="40">
      <pivotArea type="data" outline="0" fieldPosition="0">
        <references count="2">
          <reference field="4294967294" count="1" selected="0">
            <x v="0"/>
          </reference>
          <reference field="10" count="1" selected="0">
            <x v="3"/>
          </reference>
        </references>
      </pivotArea>
    </chartFormat>
    <chartFormat chart="4" format="41">
      <pivotArea type="data" outline="0" fieldPosition="0">
        <references count="2">
          <reference field="4294967294" count="1" selected="0">
            <x v="0"/>
          </reference>
          <reference field="10" count="1" selected="0">
            <x v="2"/>
          </reference>
        </references>
      </pivotArea>
    </chartFormat>
    <chartFormat chart="4" format="42">
      <pivotArea type="data" outline="0" fieldPosition="0">
        <references count="2">
          <reference field="4294967294" count="1" selected="0">
            <x v="0"/>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pivotArea type="data" outline="0" fieldPosition="0">
        <references count="2">
          <reference field="4294967294" count="1" selected="0">
            <x v="0"/>
          </reference>
          <reference field="10" count="1" selected="0">
            <x v="1"/>
          </reference>
        </references>
      </pivotArea>
    </chartFormat>
    <chartFormat chart="7" format="50">
      <pivotArea type="data" outline="0" fieldPosition="0">
        <references count="2">
          <reference field="4294967294" count="1" selected="0">
            <x v="0"/>
          </reference>
          <reference field="10" count="1" selected="0">
            <x v="0"/>
          </reference>
        </references>
      </pivotArea>
    </chartFormat>
    <chartFormat chart="7" format="51">
      <pivotArea type="data" outline="0" fieldPosition="0">
        <references count="2">
          <reference field="4294967294" count="1" selected="0">
            <x v="0"/>
          </reference>
          <reference field="10" count="1" selected="0">
            <x v="2"/>
          </reference>
        </references>
      </pivotArea>
    </chartFormat>
    <chartFormat chart="7" format="5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1FAE4B-D652-4E70-9D32-5B8259AF21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21"/>
  </rowFields>
  <rowItems count="7">
    <i>
      <x v="11"/>
    </i>
    <i>
      <x v="12"/>
    </i>
    <i>
      <x v="8"/>
    </i>
    <i>
      <x v="4"/>
    </i>
    <i>
      <x v="5"/>
    </i>
    <i>
      <x v="2"/>
    </i>
    <i t="grand">
      <x/>
    </i>
  </rowItems>
  <colItems count="1">
    <i/>
  </colItems>
  <dataFields count="1">
    <dataField name="Sum of Revenue" fld="24" baseField="0" baseItem="0" numFmtId="166"/>
  </dataFields>
  <chartFormats count="16">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4" format="39">
      <pivotArea type="data" outline="0" fieldPosition="0">
        <references count="2">
          <reference field="4294967294" count="1" selected="0">
            <x v="0"/>
          </reference>
          <reference field="21" count="1" selected="0">
            <x v="11"/>
          </reference>
        </references>
      </pivotArea>
    </chartFormat>
    <chartFormat chart="4" format="40">
      <pivotArea type="data" outline="0" fieldPosition="0">
        <references count="2">
          <reference field="4294967294" count="1" selected="0">
            <x v="0"/>
          </reference>
          <reference field="21" count="1" selected="0">
            <x v="12"/>
          </reference>
        </references>
      </pivotArea>
    </chartFormat>
    <chartFormat chart="4" format="41">
      <pivotArea type="data" outline="0" fieldPosition="0">
        <references count="2">
          <reference field="4294967294" count="1" selected="0">
            <x v="0"/>
          </reference>
          <reference field="21" count="1" selected="0">
            <x v="8"/>
          </reference>
        </references>
      </pivotArea>
    </chartFormat>
    <chartFormat chart="4" format="42">
      <pivotArea type="data" outline="0" fieldPosition="0">
        <references count="2">
          <reference field="4294967294" count="1" selected="0">
            <x v="0"/>
          </reference>
          <reference field="21" count="1" selected="0">
            <x v="4"/>
          </reference>
        </references>
      </pivotArea>
    </chartFormat>
    <chartFormat chart="4" format="43">
      <pivotArea type="data" outline="0" fieldPosition="0">
        <references count="2">
          <reference field="4294967294" count="1" selected="0">
            <x v="0"/>
          </reference>
          <reference field="21" count="1" selected="0">
            <x v="5"/>
          </reference>
        </references>
      </pivotArea>
    </chartFormat>
    <chartFormat chart="4" format="44">
      <pivotArea type="data" outline="0" fieldPosition="0">
        <references count="2">
          <reference field="4294967294" count="1" selected="0">
            <x v="0"/>
          </reference>
          <reference field="21" count="1" selected="0">
            <x v="2"/>
          </reference>
        </references>
      </pivotArea>
    </chartFormat>
    <chartFormat chart="6" format="52" series="1">
      <pivotArea type="data" outline="0" fieldPosition="0">
        <references count="1">
          <reference field="4294967294" count="1" selected="0">
            <x v="0"/>
          </reference>
        </references>
      </pivotArea>
    </chartFormat>
    <chartFormat chart="6" format="53">
      <pivotArea type="data" outline="0" fieldPosition="0">
        <references count="2">
          <reference field="4294967294" count="1" selected="0">
            <x v="0"/>
          </reference>
          <reference field="21" count="1" selected="0">
            <x v="11"/>
          </reference>
        </references>
      </pivotArea>
    </chartFormat>
    <chartFormat chart="6" format="54">
      <pivotArea type="data" outline="0" fieldPosition="0">
        <references count="2">
          <reference field="4294967294" count="1" selected="0">
            <x v="0"/>
          </reference>
          <reference field="21" count="1" selected="0">
            <x v="12"/>
          </reference>
        </references>
      </pivotArea>
    </chartFormat>
    <chartFormat chart="6" format="55">
      <pivotArea type="data" outline="0" fieldPosition="0">
        <references count="2">
          <reference field="4294967294" count="1" selected="0">
            <x v="0"/>
          </reference>
          <reference field="21" count="1" selected="0">
            <x v="8"/>
          </reference>
        </references>
      </pivotArea>
    </chartFormat>
    <chartFormat chart="6" format="56">
      <pivotArea type="data" outline="0" fieldPosition="0">
        <references count="2">
          <reference field="4294967294" count="1" selected="0">
            <x v="0"/>
          </reference>
          <reference field="21" count="1" selected="0">
            <x v="4"/>
          </reference>
        </references>
      </pivotArea>
    </chartFormat>
    <chartFormat chart="6" format="57">
      <pivotArea type="data" outline="0" fieldPosition="0">
        <references count="2">
          <reference field="4294967294" count="1" selected="0">
            <x v="0"/>
          </reference>
          <reference field="21" count="1" selected="0">
            <x v="5"/>
          </reference>
        </references>
      </pivotArea>
    </chartFormat>
    <chartFormat chart="6" format="5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7E593C-C085-4EF6-ACA3-1374401245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axis="axisRow" showAll="0">
      <items count="15">
        <item x="0"/>
        <item x="1"/>
        <item x="2"/>
        <item x="3"/>
        <item x="4"/>
        <item x="5"/>
        <item x="6"/>
        <item x="7"/>
        <item x="8"/>
        <item x="9"/>
        <item x="10"/>
        <item x="11"/>
        <item x="12"/>
        <item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chartFormats count="40">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0"/>
          </reference>
        </references>
      </pivotArea>
    </chartFormat>
    <chartFormat chart="5" format="52">
      <pivotArea type="data" outline="0" fieldPosition="0">
        <references count="2">
          <reference field="4294967294" count="1" selected="0">
            <x v="0"/>
          </reference>
          <reference field="26" count="1" selected="0">
            <x v="1"/>
          </reference>
        </references>
      </pivotArea>
    </chartFormat>
    <chartFormat chart="5" format="53">
      <pivotArea type="data" outline="0" fieldPosition="0">
        <references count="2">
          <reference field="4294967294" count="1" selected="0">
            <x v="0"/>
          </reference>
          <reference field="26" count="1" selected="0">
            <x v="2"/>
          </reference>
        </references>
      </pivotArea>
    </chartFormat>
    <chartFormat chart="5" format="54">
      <pivotArea type="data" outline="0" fieldPosition="0">
        <references count="2">
          <reference field="4294967294" count="1" selected="0">
            <x v="0"/>
          </reference>
          <reference field="26" count="1" selected="0">
            <x v="3"/>
          </reference>
        </references>
      </pivotArea>
    </chartFormat>
    <chartFormat chart="5" format="55">
      <pivotArea type="data" outline="0" fieldPosition="0">
        <references count="2">
          <reference field="4294967294" count="1" selected="0">
            <x v="0"/>
          </reference>
          <reference field="26" count="1" selected="0">
            <x v="4"/>
          </reference>
        </references>
      </pivotArea>
    </chartFormat>
    <chartFormat chart="5" format="56">
      <pivotArea type="data" outline="0" fieldPosition="0">
        <references count="2">
          <reference field="4294967294" count="1" selected="0">
            <x v="0"/>
          </reference>
          <reference field="26" count="1" selected="0">
            <x v="5"/>
          </reference>
        </references>
      </pivotArea>
    </chartFormat>
    <chartFormat chart="5" format="57">
      <pivotArea type="data" outline="0" fieldPosition="0">
        <references count="2">
          <reference field="4294967294" count="1" selected="0">
            <x v="0"/>
          </reference>
          <reference field="26" count="1" selected="0">
            <x v="6"/>
          </reference>
        </references>
      </pivotArea>
    </chartFormat>
    <chartFormat chart="5" format="58">
      <pivotArea type="data" outline="0" fieldPosition="0">
        <references count="2">
          <reference field="4294967294" count="1" selected="0">
            <x v="0"/>
          </reference>
          <reference field="26" count="1" selected="0">
            <x v="7"/>
          </reference>
        </references>
      </pivotArea>
    </chartFormat>
    <chartFormat chart="5" format="59">
      <pivotArea type="data" outline="0" fieldPosition="0">
        <references count="2">
          <reference field="4294967294" count="1" selected="0">
            <x v="0"/>
          </reference>
          <reference field="26" count="1" selected="0">
            <x v="8"/>
          </reference>
        </references>
      </pivotArea>
    </chartFormat>
    <chartFormat chart="5" format="60">
      <pivotArea type="data" outline="0" fieldPosition="0">
        <references count="2">
          <reference field="4294967294" count="1" selected="0">
            <x v="0"/>
          </reference>
          <reference field="26" count="1" selected="0">
            <x v="9"/>
          </reference>
        </references>
      </pivotArea>
    </chartFormat>
    <chartFormat chart="5" format="61">
      <pivotArea type="data" outline="0" fieldPosition="0">
        <references count="2">
          <reference field="4294967294" count="1" selected="0">
            <x v="0"/>
          </reference>
          <reference field="26" count="1" selected="0">
            <x v="10"/>
          </reference>
        </references>
      </pivotArea>
    </chartFormat>
    <chartFormat chart="8" format="73" series="1">
      <pivotArea type="data" outline="0" fieldPosition="0">
        <references count="1">
          <reference field="4294967294" count="1" selected="0">
            <x v="0"/>
          </reference>
        </references>
      </pivotArea>
    </chartFormat>
    <chartFormat chart="8" format="74">
      <pivotArea type="data" outline="0" fieldPosition="0">
        <references count="2">
          <reference field="4294967294" count="1" selected="0">
            <x v="0"/>
          </reference>
          <reference field="26" count="1" selected="0">
            <x v="1"/>
          </reference>
        </references>
      </pivotArea>
    </chartFormat>
    <chartFormat chart="8" format="75">
      <pivotArea type="data" outline="0" fieldPosition="0">
        <references count="2">
          <reference field="4294967294" count="1" selected="0">
            <x v="0"/>
          </reference>
          <reference field="26" count="1" selected="0">
            <x v="2"/>
          </reference>
        </references>
      </pivotArea>
    </chartFormat>
    <chartFormat chart="8" format="76">
      <pivotArea type="data" outline="0" fieldPosition="0">
        <references count="2">
          <reference field="4294967294" count="1" selected="0">
            <x v="0"/>
          </reference>
          <reference field="26" count="1" selected="0">
            <x v="3"/>
          </reference>
        </references>
      </pivotArea>
    </chartFormat>
    <chartFormat chart="8" format="77">
      <pivotArea type="data" outline="0" fieldPosition="0">
        <references count="2">
          <reference field="4294967294" count="1" selected="0">
            <x v="0"/>
          </reference>
          <reference field="26" count="1" selected="0">
            <x v="4"/>
          </reference>
        </references>
      </pivotArea>
    </chartFormat>
    <chartFormat chart="8" format="78">
      <pivotArea type="data" outline="0" fieldPosition="0">
        <references count="2">
          <reference field="4294967294" count="1" selected="0">
            <x v="0"/>
          </reference>
          <reference field="26" count="1" selected="0">
            <x v="5"/>
          </reference>
        </references>
      </pivotArea>
    </chartFormat>
    <chartFormat chart="8" format="79">
      <pivotArea type="data" outline="0" fieldPosition="0">
        <references count="2">
          <reference field="4294967294" count="1" selected="0">
            <x v="0"/>
          </reference>
          <reference field="26" count="1" selected="0">
            <x v="6"/>
          </reference>
        </references>
      </pivotArea>
    </chartFormat>
    <chartFormat chart="8" format="80">
      <pivotArea type="data" outline="0" fieldPosition="0">
        <references count="2">
          <reference field="4294967294" count="1" selected="0">
            <x v="0"/>
          </reference>
          <reference field="26" count="1" selected="0">
            <x v="7"/>
          </reference>
        </references>
      </pivotArea>
    </chartFormat>
    <chartFormat chart="8" format="81">
      <pivotArea type="data" outline="0" fieldPosition="0">
        <references count="2">
          <reference field="4294967294" count="1" selected="0">
            <x v="0"/>
          </reference>
          <reference field="26" count="1" selected="0">
            <x v="8"/>
          </reference>
        </references>
      </pivotArea>
    </chartFormat>
    <chartFormat chart="8" format="82">
      <pivotArea type="data" outline="0" fieldPosition="0">
        <references count="2">
          <reference field="4294967294" count="1" selected="0">
            <x v="0"/>
          </reference>
          <reference field="26" count="1" selected="0">
            <x v="9"/>
          </reference>
        </references>
      </pivotArea>
    </chartFormat>
    <chartFormat chart="8" format="83">
      <pivotArea type="data" outline="0" fieldPosition="0">
        <references count="2">
          <reference field="4294967294" count="1" selected="0">
            <x v="0"/>
          </reference>
          <reference field="26" count="1" selected="0">
            <x v="10"/>
          </reference>
        </references>
      </pivotArea>
    </chartFormat>
    <chartFormat chart="9" format="84" series="1">
      <pivotArea type="data" outline="0" fieldPosition="0">
        <references count="1">
          <reference field="4294967294" count="1" selected="0">
            <x v="0"/>
          </reference>
        </references>
      </pivotArea>
    </chartFormat>
    <chartFormat chart="9" format="85">
      <pivotArea type="data" outline="0" fieldPosition="0">
        <references count="2">
          <reference field="4294967294" count="1" selected="0">
            <x v="0"/>
          </reference>
          <reference field="26" count="1" selected="0">
            <x v="1"/>
          </reference>
        </references>
      </pivotArea>
    </chartFormat>
    <chartFormat chart="9" format="86">
      <pivotArea type="data" outline="0" fieldPosition="0">
        <references count="2">
          <reference field="4294967294" count="1" selected="0">
            <x v="0"/>
          </reference>
          <reference field="26" count="1" selected="0">
            <x v="2"/>
          </reference>
        </references>
      </pivotArea>
    </chartFormat>
    <chartFormat chart="9" format="87">
      <pivotArea type="data" outline="0" fieldPosition="0">
        <references count="2">
          <reference field="4294967294" count="1" selected="0">
            <x v="0"/>
          </reference>
          <reference field="26" count="1" selected="0">
            <x v="3"/>
          </reference>
        </references>
      </pivotArea>
    </chartFormat>
    <chartFormat chart="9" format="88">
      <pivotArea type="data" outline="0" fieldPosition="0">
        <references count="2">
          <reference field="4294967294" count="1" selected="0">
            <x v="0"/>
          </reference>
          <reference field="26" count="1" selected="0">
            <x v="4"/>
          </reference>
        </references>
      </pivotArea>
    </chartFormat>
    <chartFormat chart="9" format="89">
      <pivotArea type="data" outline="0" fieldPosition="0">
        <references count="2">
          <reference field="4294967294" count="1" selected="0">
            <x v="0"/>
          </reference>
          <reference field="26" count="1" selected="0">
            <x v="5"/>
          </reference>
        </references>
      </pivotArea>
    </chartFormat>
    <chartFormat chart="9" format="90">
      <pivotArea type="data" outline="0" fieldPosition="0">
        <references count="2">
          <reference field="4294967294" count="1" selected="0">
            <x v="0"/>
          </reference>
          <reference field="26" count="1" selected="0">
            <x v="6"/>
          </reference>
        </references>
      </pivotArea>
    </chartFormat>
    <chartFormat chart="9" format="91">
      <pivotArea type="data" outline="0" fieldPosition="0">
        <references count="2">
          <reference field="4294967294" count="1" selected="0">
            <x v="0"/>
          </reference>
          <reference field="26" count="1" selected="0">
            <x v="7"/>
          </reference>
        </references>
      </pivotArea>
    </chartFormat>
    <chartFormat chart="9" format="92">
      <pivotArea type="data" outline="0" fieldPosition="0">
        <references count="2">
          <reference field="4294967294" count="1" selected="0">
            <x v="0"/>
          </reference>
          <reference field="26" count="1" selected="0">
            <x v="8"/>
          </reference>
        </references>
      </pivotArea>
    </chartFormat>
    <chartFormat chart="9" format="93">
      <pivotArea type="data" outline="0" fieldPosition="0">
        <references count="2">
          <reference field="4294967294" count="1" selected="0">
            <x v="0"/>
          </reference>
          <reference field="26" count="1" selected="0">
            <x v="9"/>
          </reference>
        </references>
      </pivotArea>
    </chartFormat>
    <chartFormat chart="9" format="94">
      <pivotArea type="data" outline="0" fieldPosition="0">
        <references count="2">
          <reference field="4294967294" count="1" selected="0">
            <x v="0"/>
          </reference>
          <reference field="26" count="1" selected="0">
            <x v="10"/>
          </reference>
        </references>
      </pivotArea>
    </chartFormat>
    <chartFormat chart="8" format="84">
      <pivotArea type="data" outline="0" fieldPosition="0">
        <references count="2">
          <reference field="4294967294" count="1" selected="0">
            <x v="0"/>
          </reference>
          <reference field="26" count="1" selected="0">
            <x v="11"/>
          </reference>
        </references>
      </pivotArea>
    </chartFormat>
    <chartFormat chart="8" format="85">
      <pivotArea type="data" outline="0" fieldPosition="0">
        <references count="2">
          <reference field="4294967294" count="1" selected="0">
            <x v="0"/>
          </reference>
          <reference field="26" count="1" selected="0">
            <x v="12"/>
          </reference>
        </references>
      </pivotArea>
    </chartFormat>
    <chartFormat chart="5" format="62">
      <pivotArea type="data" outline="0" fieldPosition="0">
        <references count="2">
          <reference field="4294967294" count="1" selected="0">
            <x v="0"/>
          </reference>
          <reference field="26" count="1" selected="0">
            <x v="11"/>
          </reference>
        </references>
      </pivotArea>
    </chartFormat>
    <chartFormat chart="5" format="63">
      <pivotArea type="data" outline="0" fieldPosition="0">
        <references count="2">
          <reference field="4294967294" count="1" selected="0">
            <x v="0"/>
          </reference>
          <reference field="26" count="1" selected="0">
            <x v="12"/>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54D39-D6A1-4B59-B25D-7008FC9E1D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18">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0"/>
          </reference>
        </references>
      </pivotArea>
    </chartFormat>
    <chartFormat chart="7" format="5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24" count="1" selected="0">
            <x v="1"/>
          </reference>
        </references>
      </pivotArea>
    </chartFormat>
    <chartFormat chart="7" format="64">
      <pivotArea type="data" outline="0" fieldPosition="0">
        <references count="2">
          <reference field="4294967294" count="1" selected="0">
            <x v="0"/>
          </reference>
          <reference field="24" count="1" selected="0">
            <x v="2"/>
          </reference>
        </references>
      </pivotArea>
    </chartFormat>
    <chartFormat chart="7" format="65">
      <pivotArea type="data" outline="0" fieldPosition="0">
        <references count="2">
          <reference field="4294967294" count="1" selected="0">
            <x v="0"/>
          </reference>
          <reference field="24" count="1" selected="0">
            <x v="3"/>
          </reference>
        </references>
      </pivotArea>
    </chartFormat>
    <chartFormat chart="7" format="66">
      <pivotArea type="data" outline="0" fieldPosition="0">
        <references count="2">
          <reference field="4294967294" count="1" selected="0">
            <x v="0"/>
          </reference>
          <reference field="24" count="1" selected="0">
            <x v="4"/>
          </reference>
        </references>
      </pivotArea>
    </chartFormat>
    <chartFormat chart="7" format="67">
      <pivotArea type="data" outline="0" fieldPosition="0">
        <references count="2">
          <reference field="4294967294" count="1" selected="0">
            <x v="0"/>
          </reference>
          <reference field="24" count="1" selected="0">
            <x v="5"/>
          </reference>
        </references>
      </pivotArea>
    </chartFormat>
    <chartFormat chart="7" format="68">
      <pivotArea type="data" outline="0" fieldPosition="0">
        <references count="2">
          <reference field="4294967294" count="1" selected="0">
            <x v="0"/>
          </reference>
          <reference field="24" count="1" selected="0">
            <x v="7"/>
          </reference>
        </references>
      </pivotArea>
    </chartFormat>
    <chartFormat chart="12" format="76" series="1">
      <pivotArea type="data" outline="0" fieldPosition="0">
        <references count="1">
          <reference field="4294967294" count="1" selected="0">
            <x v="0"/>
          </reference>
        </references>
      </pivotArea>
    </chartFormat>
    <chartFormat chart="12" format="77">
      <pivotArea type="data" outline="0" fieldPosition="0">
        <references count="2">
          <reference field="4294967294" count="1" selected="0">
            <x v="0"/>
          </reference>
          <reference field="24" count="1" selected="0">
            <x v="1"/>
          </reference>
        </references>
      </pivotArea>
    </chartFormat>
    <chartFormat chart="12" format="78">
      <pivotArea type="data" outline="0" fieldPosition="0">
        <references count="2">
          <reference field="4294967294" count="1" selected="0">
            <x v="0"/>
          </reference>
          <reference field="24" count="1" selected="0">
            <x v="2"/>
          </reference>
        </references>
      </pivotArea>
    </chartFormat>
    <chartFormat chart="12" format="79">
      <pivotArea type="data" outline="0" fieldPosition="0">
        <references count="2">
          <reference field="4294967294" count="1" selected="0">
            <x v="0"/>
          </reference>
          <reference field="24" count="1" selected="0">
            <x v="3"/>
          </reference>
        </references>
      </pivotArea>
    </chartFormat>
    <chartFormat chart="12" format="80">
      <pivotArea type="data" outline="0" fieldPosition="0">
        <references count="2">
          <reference field="4294967294" count="1" selected="0">
            <x v="0"/>
          </reference>
          <reference field="24" count="1" selected="0">
            <x v="4"/>
          </reference>
        </references>
      </pivotArea>
    </chartFormat>
    <chartFormat chart="12" format="81">
      <pivotArea type="data" outline="0" fieldPosition="0">
        <references count="2">
          <reference field="4294967294" count="1" selected="0">
            <x v="0"/>
          </reference>
          <reference field="24" count="1" selected="0">
            <x v="5"/>
          </reference>
        </references>
      </pivotArea>
    </chartFormat>
    <chartFormat chart="12" format="82">
      <pivotArea type="data" outline="0" fieldPosition="0">
        <references count="2">
          <reference field="4294967294" count="1" selected="0">
            <x v="0"/>
          </reference>
          <reference field="24" count="1" selected="0">
            <x v="7"/>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49C1F9-BF38-4851-920A-E4A2AF203A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7"/>
  </dataFields>
  <formats count="1">
    <format dxfId="1">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0"/>
          </reference>
        </references>
      </pivotArea>
    </chartFormat>
    <chartFormat chart="7" format="5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AEEA58-1A82-47C6-8E6C-4AEA1F779B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5"/>
  </rowFields>
  <rowItems count="6">
    <i>
      <x v="8"/>
    </i>
    <i>
      <x v="9"/>
    </i>
    <i>
      <x v="6"/>
    </i>
    <i>
      <x v="5"/>
    </i>
    <i>
      <x v="1"/>
    </i>
    <i t="grand">
      <x/>
    </i>
  </rowItems>
  <colItems count="1">
    <i/>
  </colItems>
  <dataFields count="1">
    <dataField name="Sum of Revenue" fld="24" baseField="0" baseItem="0" numFmtId="166"/>
  </dataFields>
  <chartFormats count="11">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0"/>
          </reference>
        </references>
      </pivotArea>
    </chartFormat>
    <chartFormat chart="6" format="52" series="1">
      <pivotArea type="data" outline="0" fieldPosition="0">
        <references count="1">
          <reference field="4294967294" count="1" selected="0">
            <x v="0"/>
          </reference>
        </references>
      </pivotArea>
    </chartFormat>
    <chartFormat chart="6" format="59">
      <pivotArea type="data" outline="0" fieldPosition="0">
        <references count="2">
          <reference field="4294967294" count="1" selected="0">
            <x v="0"/>
          </reference>
          <reference field="5" count="1" selected="0">
            <x v="8"/>
          </reference>
        </references>
      </pivotArea>
    </chartFormat>
    <chartFormat chart="6" format="60">
      <pivotArea type="data" outline="0" fieldPosition="0">
        <references count="2">
          <reference field="4294967294" count="1" selected="0">
            <x v="0"/>
          </reference>
          <reference field="5" count="1" selected="0">
            <x v="9"/>
          </reference>
        </references>
      </pivotArea>
    </chartFormat>
    <chartFormat chart="6" format="61">
      <pivotArea type="data" outline="0" fieldPosition="0">
        <references count="2">
          <reference field="4294967294" count="1" selected="0">
            <x v="0"/>
          </reference>
          <reference field="5" count="1" selected="0">
            <x v="6"/>
          </reference>
        </references>
      </pivotArea>
    </chartFormat>
    <chartFormat chart="6" format="62">
      <pivotArea type="data" outline="0" fieldPosition="0">
        <references count="2">
          <reference field="4294967294" count="1" selected="0">
            <x v="0"/>
          </reference>
          <reference field="5" count="1" selected="0">
            <x v="5"/>
          </reference>
        </references>
      </pivotArea>
    </chartFormat>
    <chartFormat chart="6" format="63">
      <pivotArea type="data" outline="0" fieldPosition="0">
        <references count="2">
          <reference field="4294967294" count="1" selected="0">
            <x v="0"/>
          </reference>
          <reference field="5" count="1" selected="0">
            <x v="1"/>
          </reference>
        </references>
      </pivotArea>
    </chartFormat>
    <chartFormat chart="6" format="64">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2">
    <filter fld="5" type="count" evalOrder="-1" id="5" iMeasureFld="0">
      <autoFilter ref="A1">
        <filterColumn colId="0">
          <top10 val="5" filterVal="5"/>
        </filterColumn>
      </autoFilter>
    </filter>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46674B-6B13-488E-941D-13304D9389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27">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items count="13">
        <item x="4"/>
        <item x="3"/>
        <item x="9"/>
        <item x="8"/>
        <item x="7"/>
        <item x="0"/>
        <item x="1"/>
        <item x="2"/>
        <item x="6"/>
        <item x="11"/>
        <item x="10"/>
        <item x="5"/>
        <item t="default"/>
      </items>
    </pivotField>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3"/>
        <item x="8"/>
        <item x="7"/>
        <item x="10"/>
        <item x="1"/>
        <item x="12"/>
        <item x="14"/>
        <item x="6"/>
        <item x="13"/>
        <item x="9"/>
        <item x="0"/>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15">
        <item x="0"/>
        <item x="1"/>
        <item x="2"/>
        <item x="3"/>
        <item x="4"/>
        <item x="5"/>
        <item x="6"/>
        <item x="7"/>
        <item x="8"/>
        <item x="9"/>
        <item x="10"/>
        <item x="11"/>
        <item x="12"/>
        <item x="13"/>
        <item t="default"/>
      </items>
    </pivotField>
  </pivotFields>
  <rowFields count="1">
    <field x="5"/>
  </rowFields>
  <rowItems count="7">
    <i>
      <x v="8"/>
    </i>
    <i>
      <x v="9"/>
    </i>
    <i>
      <x v="6"/>
    </i>
    <i>
      <x v="5"/>
    </i>
    <i>
      <x v="1"/>
    </i>
    <i>
      <x v="7"/>
    </i>
    <i t="grand">
      <x/>
    </i>
  </rowItems>
  <colItems count="1">
    <i/>
  </colItems>
  <dataFields count="1">
    <dataField name="Sum of Revenue" fld="24" baseField="0" baseItem="0" numFmtId="166"/>
  </dataFields>
  <chartFormats count="20">
    <chartFormat chart="2"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30" series="1">
      <pivotArea type="data" outline="0" fieldPosition="0">
        <references count="1">
          <reference field="4294967294" count="1" selected="0">
            <x v="0"/>
          </reference>
        </references>
      </pivotArea>
    </chartFormat>
    <chartFormat chart="5" format="45" series="1">
      <pivotArea type="data" outline="0" fieldPosition="0">
        <references count="1">
          <reference field="4294967294" count="1" selected="0">
            <x v="0"/>
          </reference>
        </references>
      </pivotArea>
    </chartFormat>
    <chartFormat chart="6" format="52" series="1">
      <pivotArea type="data" outline="0" fieldPosition="0">
        <references count="1">
          <reference field="4294967294" count="1" selected="0">
            <x v="0"/>
          </reference>
        </references>
      </pivotArea>
    </chartFormat>
    <chartFormat chart="9" format="64" series="1">
      <pivotArea type="data" outline="0" fieldPosition="0">
        <references count="1">
          <reference field="4294967294" count="1" selected="0">
            <x v="0"/>
          </reference>
        </references>
      </pivotArea>
    </chartFormat>
    <chartFormat chart="9" format="70">
      <pivotArea type="data" outline="0" fieldPosition="0">
        <references count="2">
          <reference field="4294967294" count="1" selected="0">
            <x v="0"/>
          </reference>
          <reference field="5" count="1" selected="0">
            <x v="8"/>
          </reference>
        </references>
      </pivotArea>
    </chartFormat>
    <chartFormat chart="9" format="71">
      <pivotArea type="data" outline="0" fieldPosition="0">
        <references count="2">
          <reference field="4294967294" count="1" selected="0">
            <x v="0"/>
          </reference>
          <reference field="5" count="1" selected="0">
            <x v="9"/>
          </reference>
        </references>
      </pivotArea>
    </chartFormat>
    <chartFormat chart="9" format="72">
      <pivotArea type="data" outline="0" fieldPosition="0">
        <references count="2">
          <reference field="4294967294" count="1" selected="0">
            <x v="0"/>
          </reference>
          <reference field="5" count="1" selected="0">
            <x v="6"/>
          </reference>
        </references>
      </pivotArea>
    </chartFormat>
    <chartFormat chart="9" format="73">
      <pivotArea type="data" outline="0" fieldPosition="0">
        <references count="2">
          <reference field="4294967294" count="1" selected="0">
            <x v="0"/>
          </reference>
          <reference field="5" count="1" selected="0">
            <x v="5"/>
          </reference>
        </references>
      </pivotArea>
    </chartFormat>
    <chartFormat chart="9" format="74">
      <pivotArea type="data" outline="0" fieldPosition="0">
        <references count="2">
          <reference field="4294967294" count="1" selected="0">
            <x v="0"/>
          </reference>
          <reference field="5" count="1" selected="0">
            <x v="1"/>
          </reference>
        </references>
      </pivotArea>
    </chartFormat>
    <chartFormat chart="9" format="75">
      <pivotArea type="data" outline="0" fieldPosition="0">
        <references count="2">
          <reference field="4294967294" count="1" selected="0">
            <x v="0"/>
          </reference>
          <reference field="5" count="1" selected="0">
            <x v="7"/>
          </reference>
        </references>
      </pivotArea>
    </chartFormat>
    <chartFormat chart="12" format="83" series="1">
      <pivotArea type="data" outline="0" fieldPosition="0">
        <references count="1">
          <reference field="4294967294" count="1" selected="0">
            <x v="0"/>
          </reference>
        </references>
      </pivotArea>
    </chartFormat>
    <chartFormat chart="12" format="84">
      <pivotArea type="data" outline="0" fieldPosition="0">
        <references count="2">
          <reference field="4294967294" count="1" selected="0">
            <x v="0"/>
          </reference>
          <reference field="5" count="1" selected="0">
            <x v="8"/>
          </reference>
        </references>
      </pivotArea>
    </chartFormat>
    <chartFormat chart="12" format="85">
      <pivotArea type="data" outline="0" fieldPosition="0">
        <references count="2">
          <reference field="4294967294" count="1" selected="0">
            <x v="0"/>
          </reference>
          <reference field="5" count="1" selected="0">
            <x v="9"/>
          </reference>
        </references>
      </pivotArea>
    </chartFormat>
    <chartFormat chart="12" format="86">
      <pivotArea type="data" outline="0" fieldPosition="0">
        <references count="2">
          <reference field="4294967294" count="1" selected="0">
            <x v="0"/>
          </reference>
          <reference field="5" count="1" selected="0">
            <x v="6"/>
          </reference>
        </references>
      </pivotArea>
    </chartFormat>
    <chartFormat chart="12" format="87">
      <pivotArea type="data" outline="0" fieldPosition="0">
        <references count="2">
          <reference field="4294967294" count="1" selected="0">
            <x v="0"/>
          </reference>
          <reference field="5" count="1" selected="0">
            <x v="5"/>
          </reference>
        </references>
      </pivotArea>
    </chartFormat>
    <chartFormat chart="12" format="88">
      <pivotArea type="data" outline="0" fieldPosition="0">
        <references count="2">
          <reference field="4294967294" count="1" selected="0">
            <x v="0"/>
          </reference>
          <reference field="5" count="1" selected="0">
            <x v="1"/>
          </reference>
        </references>
      </pivotArea>
    </chartFormat>
    <chartFormat chart="12" format="89">
      <pivotArea type="data" outline="0" fieldPosition="0">
        <references count="2">
          <reference field="4294967294" count="1" selected="0">
            <x v="0"/>
          </reference>
          <reference field="5" count="1" selected="0">
            <x v="7"/>
          </reference>
        </references>
      </pivotArea>
    </chartFormat>
    <chartFormat chart="9" format="7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2">
    <filter fld="5" type="count" evalOrder="-1" id="6" iMeasureFld="0">
      <autoFilter ref="A1">
        <filterColumn colId="0">
          <top10 val="6" filterVal="6"/>
        </filterColumn>
      </autoFilter>
    </filter>
    <filter fld="21"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0231675-3B4F-41F0-8A5B-EA3EBA2737DE}" sourceName="Salesperson">
  <pivotTables>
    <pivotTable tabId="47" name="PivotTable4"/>
    <pivotTable tabId="49" name="PivotTable4"/>
    <pivotTable tabId="42" name="PivotTable4"/>
    <pivotTable tabId="45" name="PivotTable4"/>
    <pivotTable tabId="39" name="PivotTable4"/>
    <pivotTable tabId="38" name="PivotTable4"/>
    <pivotTable tabId="64" name="PivotTable4"/>
    <pivotTable tabId="62" name="PivotTable4"/>
    <pivotTable tabId="48" name="PivotTable4"/>
  </pivotTables>
  <data>
    <tabular pivotCacheId="1073078662">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9A6E3B-6D7D-4B04-BF17-96B822E1A2F5}" sourceName="Region">
  <pivotTables>
    <pivotTable tabId="42" name="PivotTable4"/>
    <pivotTable tabId="49" name="PivotTable4"/>
    <pivotTable tabId="45" name="PivotTable4"/>
    <pivotTable tabId="47" name="PivotTable4"/>
    <pivotTable tabId="39" name="PivotTable4"/>
    <pivotTable tabId="38" name="PivotTable4"/>
    <pivotTable tabId="64" name="PivotTable4"/>
    <pivotTable tabId="62" name="PivotTable4"/>
    <pivotTable tabId="48" name="PivotTable4"/>
  </pivotTables>
  <data>
    <tabular pivotCacheId="107307866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B452284-64F8-43EA-822D-AB944205C7EC}" sourceName="Product Name">
  <pivotTables>
    <pivotTable tabId="48" name="PivotTable4"/>
    <pivotTable tabId="49" name="PivotTable4"/>
    <pivotTable tabId="42" name="PivotTable4"/>
    <pivotTable tabId="45" name="PivotTable4"/>
    <pivotTable tabId="47" name="PivotTable4"/>
    <pivotTable tabId="39" name="PivotTable4"/>
    <pivotTable tabId="38" name="PivotTable4"/>
    <pivotTable tabId="64" name="PivotTable4"/>
    <pivotTable tabId="62" name="PivotTable4"/>
  </pivotTables>
  <data>
    <tabular pivotCacheId="1073078662">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5A5C8F3-7B95-4BD9-9D69-D2DAB889F395}" sourceName="Customer Name">
  <pivotTables>
    <pivotTable tabId="48" name="PivotTable4"/>
    <pivotTable tabId="49" name="PivotTable4"/>
    <pivotTable tabId="42" name="PivotTable4"/>
    <pivotTable tabId="45" name="PivotTable4"/>
    <pivotTable tabId="47" name="PivotTable4"/>
    <pivotTable tabId="39" name="PivotTable4"/>
    <pivotTable tabId="38" name="PivotTable4"/>
    <pivotTable tabId="64" name="PivotTable4"/>
    <pivotTable tabId="62" name="PivotTable4"/>
  </pivotTables>
  <data>
    <tabular pivotCacheId="1073078662">
      <items count="15">
        <i x="11" s="1"/>
        <i x="0" s="1"/>
        <i x="7" s="1"/>
        <i x="5" s="1"/>
        <i x="4" s="1"/>
        <i x="1" s="1"/>
        <i x="6" s="1"/>
        <i x="9" s="1"/>
        <i x="3" s="1"/>
        <i x="12" s="1"/>
        <i x="8" s="1"/>
        <i x="10" s="1"/>
        <i x="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A2397C3-108B-4575-BBD7-50BA3D3A50BD}" cache="Slicer_Salesperson" caption="Salesperson" style="SlicerStyleDark5" rowHeight="241300"/>
  <slicer name="Region" xr10:uid="{31D558AF-734B-4DB0-9031-DBDF19531229}" cache="Slicer_Region" caption="Region" style="SlicerStyleDark5" rowHeight="241300"/>
  <slicer name="Product Name" xr10:uid="{C82599E3-0BA4-40E4-AED1-062E4054EAA4}" cache="Slicer_Product_Name" caption="Product Name" startItem="6" style="SlicerStyleDark5" rowHeight="241300"/>
  <slicer name="Customer Name" xr10:uid="{39C4E2FE-D181-4A21-8141-0F526D661BE2}" cache="Slicer_Customer_Name" caption="Customer Name" startItem="10"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www.excelcampus.com/pivot-tables/pivot-tables-work/" TargetMode="Externa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2"/>
  <sheetViews>
    <sheetView workbookViewId="0">
      <selection activeCell="C7" sqref="C7"/>
    </sheetView>
  </sheetViews>
  <sheetFormatPr defaultColWidth="9" defaultRowHeight="15"/>
  <cols>
    <col min="1" max="1" width="66.42578125" customWidth="1"/>
    <col min="3" max="3" width="9.140625" customWidth="1"/>
  </cols>
  <sheetData>
    <row r="2" spans="1:1" ht="21">
      <c r="A2" s="7" t="s">
        <v>0</v>
      </c>
    </row>
    <row r="3" spans="1:1" ht="68.25" customHeight="1">
      <c r="A3" s="8" t="s">
        <v>1</v>
      </c>
    </row>
    <row r="4" spans="1:1" ht="21">
      <c r="A4" s="9" t="s">
        <v>2</v>
      </c>
    </row>
    <row r="5" spans="1:1" ht="21">
      <c r="A5" s="9" t="s">
        <v>3</v>
      </c>
    </row>
    <row r="6" spans="1:1" ht="21">
      <c r="A6" s="9" t="s">
        <v>4</v>
      </c>
    </row>
    <row r="7" spans="1:1" ht="21">
      <c r="A7" s="9" t="s">
        <v>5</v>
      </c>
    </row>
    <row r="8" spans="1:1" ht="21">
      <c r="A8" s="9" t="s">
        <v>187</v>
      </c>
    </row>
    <row r="9" spans="1:1" ht="21">
      <c r="A9" s="9" t="s">
        <v>6</v>
      </c>
    </row>
    <row r="10" spans="1:1" ht="21">
      <c r="A10" s="9" t="s">
        <v>7</v>
      </c>
    </row>
    <row r="11" spans="1:1" ht="21">
      <c r="A11" s="9" t="s">
        <v>8</v>
      </c>
    </row>
    <row r="12" spans="1:1" ht="21">
      <c r="A12" s="9" t="s">
        <v>9</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9CFF-99F1-4C39-9C44-10F9A7D4896A}">
  <dimension ref="A3:B19"/>
  <sheetViews>
    <sheetView workbookViewId="0">
      <selection activeCell="L15" sqref="L15"/>
    </sheetView>
  </sheetViews>
  <sheetFormatPr defaultRowHeight="15"/>
  <cols>
    <col min="1" max="1" width="13.140625" bestFit="1" customWidth="1"/>
    <col min="2" max="2" width="15.5703125" bestFit="1" customWidth="1"/>
  </cols>
  <sheetData>
    <row r="3" spans="1:2">
      <c r="A3" s="10" t="s">
        <v>167</v>
      </c>
      <c r="B3" t="s">
        <v>169</v>
      </c>
    </row>
    <row r="4" spans="1:2">
      <c r="A4" s="11" t="s">
        <v>50</v>
      </c>
      <c r="B4" s="5">
        <v>67180.5</v>
      </c>
    </row>
    <row r="5" spans="1:2">
      <c r="A5" s="11" t="s">
        <v>66</v>
      </c>
      <c r="B5" s="5">
        <v>50208.35</v>
      </c>
    </row>
    <row r="6" spans="1:2">
      <c r="A6" s="11" t="s">
        <v>100</v>
      </c>
      <c r="B6" s="5">
        <v>43713</v>
      </c>
    </row>
    <row r="7" spans="1:2">
      <c r="A7" s="11" t="s">
        <v>92</v>
      </c>
      <c r="B7" s="5">
        <v>37428</v>
      </c>
    </row>
    <row r="8" spans="1:2">
      <c r="A8" s="11" t="s">
        <v>128</v>
      </c>
      <c r="B8" s="5">
        <v>36839.990000000005</v>
      </c>
    </row>
    <row r="9" spans="1:2">
      <c r="A9" s="11" t="s">
        <v>135</v>
      </c>
      <c r="B9" s="5">
        <v>32530.6</v>
      </c>
    </row>
    <row r="10" spans="1:2">
      <c r="A10" s="11" t="s">
        <v>107</v>
      </c>
      <c r="B10" s="5">
        <v>29133.009999999995</v>
      </c>
    </row>
    <row r="11" spans="1:2">
      <c r="A11" s="11" t="s">
        <v>151</v>
      </c>
      <c r="B11" s="5">
        <v>28208.250000000007</v>
      </c>
    </row>
    <row r="12" spans="1:2">
      <c r="A12" s="11" t="s">
        <v>84</v>
      </c>
      <c r="B12" s="5">
        <v>27005.38</v>
      </c>
    </row>
    <row r="13" spans="1:2">
      <c r="A13" s="11" t="s">
        <v>123</v>
      </c>
      <c r="B13" s="5">
        <v>21937.08</v>
      </c>
    </row>
    <row r="14" spans="1:2">
      <c r="A14" s="11" t="s">
        <v>114</v>
      </c>
      <c r="B14" s="5">
        <v>17204</v>
      </c>
    </row>
    <row r="15" spans="1:2">
      <c r="A15" s="11" t="s">
        <v>76</v>
      </c>
      <c r="B15" s="5">
        <v>16350.5</v>
      </c>
    </row>
    <row r="16" spans="1:2">
      <c r="A16" s="11" t="s">
        <v>61</v>
      </c>
      <c r="B16" s="5">
        <v>14074</v>
      </c>
    </row>
    <row r="17" spans="1:2">
      <c r="A17" s="11" t="s">
        <v>148</v>
      </c>
      <c r="B17" s="5">
        <v>11962</v>
      </c>
    </row>
    <row r="18" spans="1:2">
      <c r="A18" s="11" t="s">
        <v>36</v>
      </c>
      <c r="B18" s="5">
        <v>1291.5</v>
      </c>
    </row>
    <row r="19" spans="1:2">
      <c r="A19" s="11" t="s">
        <v>168</v>
      </c>
      <c r="B19" s="5">
        <v>435066.16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8431-6A38-481E-8BE7-F6BB4816CB2A}">
  <dimension ref="A3:B12"/>
  <sheetViews>
    <sheetView topLeftCell="A5" workbookViewId="0">
      <selection activeCell="A16" sqref="A16"/>
    </sheetView>
  </sheetViews>
  <sheetFormatPr defaultRowHeight="15"/>
  <cols>
    <col min="1" max="1" width="16.42578125" bestFit="1" customWidth="1"/>
    <col min="2" max="2" width="15.5703125" bestFit="1" customWidth="1"/>
  </cols>
  <sheetData>
    <row r="3" spans="1:2">
      <c r="A3" s="10" t="s">
        <v>167</v>
      </c>
      <c r="B3" t="s">
        <v>169</v>
      </c>
    </row>
    <row r="4" spans="1:2">
      <c r="A4" s="11" t="s">
        <v>70</v>
      </c>
      <c r="B4" s="5">
        <v>104252.33999999997</v>
      </c>
    </row>
    <row r="5" spans="1:2">
      <c r="A5" s="11" t="s">
        <v>104</v>
      </c>
      <c r="B5" s="5">
        <v>93858.329999999987</v>
      </c>
    </row>
    <row r="6" spans="1:2">
      <c r="A6" s="11" t="s">
        <v>54</v>
      </c>
      <c r="B6" s="5">
        <v>67180.5</v>
      </c>
    </row>
    <row r="7" spans="1:2">
      <c r="A7" s="11" t="s">
        <v>41</v>
      </c>
      <c r="B7" s="5">
        <v>42370.880000000005</v>
      </c>
    </row>
    <row r="8" spans="1:2">
      <c r="A8" s="11" t="s">
        <v>111</v>
      </c>
      <c r="B8" s="5">
        <v>41095.01</v>
      </c>
    </row>
    <row r="9" spans="1:2">
      <c r="A9" s="11" t="s">
        <v>96</v>
      </c>
      <c r="B9" s="5">
        <v>37428</v>
      </c>
    </row>
    <row r="10" spans="1:2">
      <c r="A10" s="11" t="s">
        <v>139</v>
      </c>
      <c r="B10" s="5">
        <v>32530.6</v>
      </c>
    </row>
    <row r="11" spans="1:2">
      <c r="A11" s="11" t="s">
        <v>80</v>
      </c>
      <c r="B11" s="5">
        <v>16350.5</v>
      </c>
    </row>
    <row r="12" spans="1:2">
      <c r="A12" s="11" t="s">
        <v>168</v>
      </c>
      <c r="B12" s="5">
        <v>435066.15999999992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B2F6-FCBC-4DFD-A48C-86C9D26D9CD7}">
  <dimension ref="A3:B8"/>
  <sheetViews>
    <sheetView workbookViewId="0">
      <selection activeCell="M11" sqref="M11"/>
    </sheetView>
  </sheetViews>
  <sheetFormatPr defaultRowHeight="15"/>
  <cols>
    <col min="1" max="1" width="13.140625" bestFit="1" customWidth="1"/>
    <col min="2" max="2" width="15.5703125" bestFit="1" customWidth="1"/>
  </cols>
  <sheetData>
    <row r="3" spans="1:2">
      <c r="A3" s="10" t="s">
        <v>167</v>
      </c>
      <c r="B3" t="s">
        <v>169</v>
      </c>
    </row>
    <row r="4" spans="1:2">
      <c r="A4" s="11" t="s">
        <v>71</v>
      </c>
      <c r="B4" s="12">
        <v>0.32565240192434181</v>
      </c>
    </row>
    <row r="5" spans="1:2">
      <c r="A5" s="11" t="s">
        <v>55</v>
      </c>
      <c r="B5" s="12">
        <v>0.24887136705828836</v>
      </c>
    </row>
    <row r="6" spans="1:2">
      <c r="A6" s="11" t="s">
        <v>105</v>
      </c>
      <c r="B6" s="12">
        <v>0.21573346453789927</v>
      </c>
    </row>
    <row r="7" spans="1:2">
      <c r="A7" s="11" t="s">
        <v>42</v>
      </c>
      <c r="B7" s="12">
        <v>0.20974276647947065</v>
      </c>
    </row>
    <row r="8" spans="1:2">
      <c r="A8" s="11" t="s">
        <v>168</v>
      </c>
      <c r="B8" s="12">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B194-E6BC-43DF-AEFC-4DE393D65B1F}">
  <dimension ref="A3:B10"/>
  <sheetViews>
    <sheetView topLeftCell="B2" workbookViewId="0">
      <selection activeCell="D8" sqref="D8"/>
    </sheetView>
  </sheetViews>
  <sheetFormatPr defaultRowHeight="15"/>
  <cols>
    <col min="1" max="1" width="17" bestFit="1" customWidth="1"/>
    <col min="2" max="2" width="15.5703125" bestFit="1" customWidth="1"/>
  </cols>
  <sheetData>
    <row r="3" spans="1:2">
      <c r="A3" s="10" t="s">
        <v>167</v>
      </c>
      <c r="B3" t="s">
        <v>169</v>
      </c>
    </row>
    <row r="4" spans="1:2">
      <c r="A4" s="11" t="s">
        <v>47</v>
      </c>
      <c r="B4" s="5">
        <v>110577.10999999999</v>
      </c>
    </row>
    <row r="5" spans="1:2">
      <c r="A5" s="11" t="s">
        <v>99</v>
      </c>
      <c r="B5" s="5">
        <v>69000</v>
      </c>
    </row>
    <row r="6" spans="1:2">
      <c r="A6" s="11" t="s">
        <v>120</v>
      </c>
      <c r="B6" s="5">
        <v>51541</v>
      </c>
    </row>
    <row r="7" spans="1:2">
      <c r="A7" s="11" t="s">
        <v>144</v>
      </c>
      <c r="B7" s="5">
        <v>33129.600000000006</v>
      </c>
    </row>
    <row r="8" spans="1:2">
      <c r="A8" s="11" t="s">
        <v>49</v>
      </c>
      <c r="B8" s="5">
        <v>27999.5</v>
      </c>
    </row>
    <row r="9" spans="1:2">
      <c r="A9" s="11" t="s">
        <v>134</v>
      </c>
      <c r="B9" s="5">
        <v>25465.599999999999</v>
      </c>
    </row>
    <row r="10" spans="1:2">
      <c r="A10" s="11" t="s">
        <v>168</v>
      </c>
      <c r="B10" s="5">
        <v>317712.81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2F3E-97D3-41E0-810B-F24F757D39B0}">
  <dimension ref="A3:B16"/>
  <sheetViews>
    <sheetView topLeftCell="A2" workbookViewId="0">
      <selection activeCell="Z33" sqref="Z33"/>
    </sheetView>
  </sheetViews>
  <sheetFormatPr defaultRowHeight="15"/>
  <cols>
    <col min="1" max="1" width="13.140625" bestFit="1" customWidth="1"/>
    <col min="2" max="2" width="15.5703125" bestFit="1" customWidth="1"/>
  </cols>
  <sheetData>
    <row r="3" spans="1:2">
      <c r="A3" s="10" t="s">
        <v>167</v>
      </c>
      <c r="B3" t="s">
        <v>169</v>
      </c>
    </row>
    <row r="4" spans="1:2">
      <c r="A4" s="11" t="s">
        <v>170</v>
      </c>
      <c r="B4" s="5">
        <v>32907.839999999997</v>
      </c>
    </row>
    <row r="5" spans="1:2">
      <c r="A5" s="11" t="s">
        <v>171</v>
      </c>
      <c r="B5" s="5">
        <v>19985.5</v>
      </c>
    </row>
    <row r="6" spans="1:2">
      <c r="A6" s="11" t="s">
        <v>172</v>
      </c>
      <c r="B6" s="5">
        <v>30852.6</v>
      </c>
    </row>
    <row r="7" spans="1:2">
      <c r="A7" s="11" t="s">
        <v>173</v>
      </c>
      <c r="B7" s="5">
        <v>20771.789999999997</v>
      </c>
    </row>
    <row r="8" spans="1:2">
      <c r="A8" s="11" t="s">
        <v>174</v>
      </c>
      <c r="B8" s="5">
        <v>34307.049999999996</v>
      </c>
    </row>
    <row r="9" spans="1:2">
      <c r="A9" s="11" t="s">
        <v>175</v>
      </c>
      <c r="B9" s="5">
        <v>55601.610000000008</v>
      </c>
    </row>
    <row r="10" spans="1:2">
      <c r="A10" s="11" t="s">
        <v>176</v>
      </c>
      <c r="B10" s="5">
        <v>27318.539999999997</v>
      </c>
    </row>
    <row r="11" spans="1:2">
      <c r="A11" s="11" t="s">
        <v>177</v>
      </c>
      <c r="B11" s="5">
        <v>29921.459999999995</v>
      </c>
    </row>
    <row r="12" spans="1:2">
      <c r="A12" s="11" t="s">
        <v>178</v>
      </c>
      <c r="B12" s="5">
        <v>31949.970000000005</v>
      </c>
    </row>
    <row r="13" spans="1:2">
      <c r="A13" s="11" t="s">
        <v>179</v>
      </c>
      <c r="B13" s="5">
        <v>53033.59</v>
      </c>
    </row>
    <row r="14" spans="1:2">
      <c r="A14" s="11" t="s">
        <v>180</v>
      </c>
      <c r="B14" s="5">
        <v>31773.429999999997</v>
      </c>
    </row>
    <row r="15" spans="1:2">
      <c r="A15" s="11" t="s">
        <v>181</v>
      </c>
      <c r="B15" s="5">
        <v>66642.78</v>
      </c>
    </row>
    <row r="16" spans="1:2">
      <c r="A16" s="11" t="s">
        <v>168</v>
      </c>
      <c r="B16" s="5">
        <v>435066.16000000003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F34F-FE36-40B1-B316-1C96309BBF4C}">
  <dimension ref="A3:B11"/>
  <sheetViews>
    <sheetView topLeftCell="A3" workbookViewId="0">
      <selection activeCell="Z33" sqref="Z33"/>
    </sheetView>
  </sheetViews>
  <sheetFormatPr defaultRowHeight="15"/>
  <cols>
    <col min="1" max="1" width="13.140625" bestFit="1" customWidth="1"/>
    <col min="2" max="2" width="17" bestFit="1" customWidth="1"/>
  </cols>
  <sheetData>
    <row r="3" spans="1:2">
      <c r="A3" s="10" t="s">
        <v>167</v>
      </c>
      <c r="B3" t="s">
        <v>186</v>
      </c>
    </row>
    <row r="4" spans="1:2">
      <c r="A4" s="13" t="s">
        <v>182</v>
      </c>
      <c r="B4" s="17">
        <v>218</v>
      </c>
    </row>
    <row r="5" spans="1:2">
      <c r="A5" s="13" t="s">
        <v>183</v>
      </c>
      <c r="B5" s="17">
        <v>85</v>
      </c>
    </row>
    <row r="6" spans="1:2">
      <c r="A6" s="13" t="s">
        <v>184</v>
      </c>
      <c r="B6" s="17">
        <v>31</v>
      </c>
    </row>
    <row r="7" spans="1:2">
      <c r="A7" s="13" t="s">
        <v>185</v>
      </c>
      <c r="B7" s="17">
        <v>24</v>
      </c>
    </row>
    <row r="8" spans="1:2">
      <c r="A8" s="13" t="s">
        <v>189</v>
      </c>
      <c r="B8" s="17">
        <v>8</v>
      </c>
    </row>
    <row r="9" spans="1:2">
      <c r="A9" s="13" t="s">
        <v>190</v>
      </c>
      <c r="B9" s="17">
        <v>2</v>
      </c>
    </row>
    <row r="10" spans="1:2">
      <c r="A10" s="13" t="s">
        <v>191</v>
      </c>
      <c r="B10" s="17">
        <v>1</v>
      </c>
    </row>
    <row r="11" spans="1:2">
      <c r="A11" s="13" t="s">
        <v>168</v>
      </c>
      <c r="B11" s="17">
        <v>369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43FC-708C-450B-85FA-7CCF0D8ED4A9}">
  <dimension ref="A3:E16"/>
  <sheetViews>
    <sheetView topLeftCell="A2" workbookViewId="0">
      <selection activeCell="X7" sqref="X7"/>
    </sheetView>
  </sheetViews>
  <sheetFormatPr defaultRowHeight="15"/>
  <cols>
    <col min="1" max="1" width="13.140625" bestFit="1" customWidth="1"/>
    <col min="2" max="2" width="15.5703125" bestFit="1" customWidth="1"/>
    <col min="5" max="5" width="11.140625" bestFit="1" customWidth="1"/>
  </cols>
  <sheetData>
    <row r="3" spans="1:5">
      <c r="A3" s="10" t="s">
        <v>167</v>
      </c>
      <c r="B3" t="s">
        <v>169</v>
      </c>
      <c r="D3" s="15" t="s">
        <v>188</v>
      </c>
      <c r="E3" s="15" t="s">
        <v>34</v>
      </c>
    </row>
    <row r="4" spans="1:5">
      <c r="A4" s="11" t="s">
        <v>53</v>
      </c>
      <c r="B4" s="14">
        <v>67180.5</v>
      </c>
      <c r="D4" t="s">
        <v>53</v>
      </c>
      <c r="E4" s="14">
        <v>67180.5</v>
      </c>
    </row>
    <row r="5" spans="1:5">
      <c r="A5" s="11" t="s">
        <v>69</v>
      </c>
      <c r="B5" s="14">
        <v>50208.35</v>
      </c>
      <c r="D5" t="s">
        <v>69</v>
      </c>
      <c r="E5" s="14">
        <v>50208.35</v>
      </c>
    </row>
    <row r="6" spans="1:5">
      <c r="A6" s="11" t="s">
        <v>126</v>
      </c>
      <c r="B6" s="14">
        <v>50145.330000000009</v>
      </c>
      <c r="D6" t="s">
        <v>126</v>
      </c>
      <c r="E6" s="14">
        <v>50145.330000000009</v>
      </c>
    </row>
    <row r="7" spans="1:5">
      <c r="A7" s="11" t="s">
        <v>103</v>
      </c>
      <c r="B7" s="14">
        <v>43713</v>
      </c>
      <c r="D7" t="s">
        <v>103</v>
      </c>
      <c r="E7" s="14">
        <v>43713</v>
      </c>
    </row>
    <row r="8" spans="1:5">
      <c r="A8" s="11" t="s">
        <v>110</v>
      </c>
      <c r="B8" s="14">
        <v>41095.01</v>
      </c>
      <c r="D8" t="s">
        <v>110</v>
      </c>
      <c r="E8" s="14">
        <v>41095.01</v>
      </c>
    </row>
    <row r="9" spans="1:5">
      <c r="A9" s="11" t="s">
        <v>95</v>
      </c>
      <c r="B9" s="14">
        <v>37428</v>
      </c>
      <c r="D9" t="s">
        <v>95</v>
      </c>
      <c r="E9" s="14">
        <v>37428</v>
      </c>
    </row>
    <row r="10" spans="1:5">
      <c r="A10" s="11" t="s">
        <v>131</v>
      </c>
      <c r="B10" s="14">
        <v>36839.990000000005</v>
      </c>
      <c r="D10" t="s">
        <v>131</v>
      </c>
      <c r="E10" s="14">
        <v>36839.990000000005</v>
      </c>
    </row>
    <row r="11" spans="1:5">
      <c r="A11" s="11" t="s">
        <v>138</v>
      </c>
      <c r="B11" s="14">
        <v>32530.6</v>
      </c>
      <c r="D11" t="s">
        <v>138</v>
      </c>
      <c r="E11" s="14">
        <v>32530.6</v>
      </c>
    </row>
    <row r="12" spans="1:5">
      <c r="A12" s="11" t="s">
        <v>87</v>
      </c>
      <c r="B12" s="14">
        <v>27005.38</v>
      </c>
      <c r="D12" t="s">
        <v>87</v>
      </c>
      <c r="E12" s="14">
        <v>27005.38</v>
      </c>
    </row>
    <row r="13" spans="1:5">
      <c r="A13" s="11" t="s">
        <v>117</v>
      </c>
      <c r="B13" s="14">
        <v>17204</v>
      </c>
      <c r="D13" t="s">
        <v>117</v>
      </c>
      <c r="E13" s="14">
        <v>17204</v>
      </c>
    </row>
    <row r="14" spans="1:5">
      <c r="A14" s="11" t="s">
        <v>79</v>
      </c>
      <c r="B14" s="14">
        <v>16350.5</v>
      </c>
      <c r="D14" t="s">
        <v>79</v>
      </c>
      <c r="E14" s="14">
        <v>16350.5</v>
      </c>
    </row>
    <row r="15" spans="1:5">
      <c r="A15" s="11" t="s">
        <v>39</v>
      </c>
      <c r="B15" s="14">
        <v>15365.5</v>
      </c>
      <c r="D15" t="s">
        <v>39</v>
      </c>
      <c r="E15" s="14">
        <v>15365.5</v>
      </c>
    </row>
    <row r="16" spans="1:5">
      <c r="A16" s="11" t="s">
        <v>168</v>
      </c>
      <c r="B16" s="14">
        <v>435066.16</v>
      </c>
      <c r="E16" s="14"/>
    </row>
  </sheetData>
  <autoFilter ref="D3:E15" xr:uid="{F37543FC-708C-450B-85FA-7CCF0D8ED4A9}">
    <sortState xmlns:xlrd2="http://schemas.microsoft.com/office/spreadsheetml/2017/richdata2" ref="D4:E15">
      <sortCondition sortBy="icon" ref="D9:D15"/>
    </sortState>
  </autoFilter>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FC0A-E374-4E7F-9AE6-250BC16E650E}">
  <dimension ref="A3:B9"/>
  <sheetViews>
    <sheetView topLeftCell="B25874" zoomScale="85" zoomScaleNormal="85" workbookViewId="0">
      <selection activeCell="N25886" sqref="N25886"/>
    </sheetView>
  </sheetViews>
  <sheetFormatPr defaultRowHeight="15"/>
  <cols>
    <col min="1" max="1" width="13.28515625" bestFit="1" customWidth="1"/>
    <col min="2" max="2" width="15.5703125" bestFit="1" customWidth="1"/>
  </cols>
  <sheetData>
    <row r="3" spans="1:2">
      <c r="A3" s="10" t="s">
        <v>167</v>
      </c>
      <c r="B3" t="s">
        <v>169</v>
      </c>
    </row>
    <row r="4" spans="1:2">
      <c r="A4" s="11" t="s">
        <v>52</v>
      </c>
      <c r="B4" s="5">
        <v>67180.5</v>
      </c>
    </row>
    <row r="5" spans="1:2">
      <c r="A5" s="11" t="s">
        <v>68</v>
      </c>
      <c r="B5" s="5">
        <v>50208.35</v>
      </c>
    </row>
    <row r="6" spans="1:2">
      <c r="A6" s="11" t="s">
        <v>125</v>
      </c>
      <c r="B6" s="5">
        <v>50145.330000000009</v>
      </c>
    </row>
    <row r="7" spans="1:2">
      <c r="A7" s="11" t="s">
        <v>102</v>
      </c>
      <c r="B7" s="5">
        <v>43713</v>
      </c>
    </row>
    <row r="8" spans="1:2">
      <c r="A8" s="11" t="s">
        <v>109</v>
      </c>
      <c r="B8" s="5">
        <v>41095.01</v>
      </c>
    </row>
    <row r="9" spans="1:2">
      <c r="A9" s="11" t="s">
        <v>168</v>
      </c>
      <c r="B9" s="5">
        <v>252342.19000000003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FF77-AAFD-44C7-A036-AB62FF2F2DEB}">
  <dimension ref="A3:B10"/>
  <sheetViews>
    <sheetView zoomScale="85" zoomScaleNormal="85" workbookViewId="0">
      <selection activeCell="B9" sqref="B9"/>
    </sheetView>
  </sheetViews>
  <sheetFormatPr defaultRowHeight="15"/>
  <cols>
    <col min="1" max="1" width="13.28515625" bestFit="1" customWidth="1"/>
    <col min="2" max="2" width="15.5703125" bestFit="1" customWidth="1"/>
  </cols>
  <sheetData>
    <row r="3" spans="1:2">
      <c r="A3" s="10" t="s">
        <v>167</v>
      </c>
      <c r="B3" t="s">
        <v>169</v>
      </c>
    </row>
    <row r="4" spans="1:2">
      <c r="A4" s="11" t="s">
        <v>52</v>
      </c>
      <c r="B4" s="5">
        <v>67180.5</v>
      </c>
    </row>
    <row r="5" spans="1:2">
      <c r="A5" s="11" t="s">
        <v>68</v>
      </c>
      <c r="B5" s="5">
        <v>50208.35</v>
      </c>
    </row>
    <row r="6" spans="1:2">
      <c r="A6" s="11" t="s">
        <v>125</v>
      </c>
      <c r="B6" s="5">
        <v>50145.330000000009</v>
      </c>
    </row>
    <row r="7" spans="1:2">
      <c r="A7" s="11" t="s">
        <v>102</v>
      </c>
      <c r="B7" s="5">
        <v>43713</v>
      </c>
    </row>
    <row r="8" spans="1:2">
      <c r="A8" s="11" t="s">
        <v>109</v>
      </c>
      <c r="B8" s="5">
        <v>41095.01</v>
      </c>
    </row>
    <row r="9" spans="1:2">
      <c r="A9" s="11" t="s">
        <v>94</v>
      </c>
      <c r="B9" s="5">
        <v>37428</v>
      </c>
    </row>
    <row r="10" spans="1:2">
      <c r="A10" s="11" t="s">
        <v>168</v>
      </c>
      <c r="B10" s="5">
        <v>289770.19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655B5-856E-48C5-8977-C3B418FDE07A}">
  <sheetPr filterMode="1">
    <tabColor theme="1" tint="0.249977111117893"/>
  </sheetPr>
  <dimension ref="A1:Z370"/>
  <sheetViews>
    <sheetView topLeftCell="P1" zoomScale="68" zoomScaleNormal="68" workbookViewId="0">
      <pane ySplit="1" topLeftCell="A18" activePane="bottomLeft" state="frozen"/>
      <selection activeCell="J9" sqref="J9"/>
      <selection pane="bottomLeft" activeCell="V20" sqref="V20"/>
    </sheetView>
  </sheetViews>
  <sheetFormatPr defaultColWidth="9" defaultRowHeight="15"/>
  <cols>
    <col min="1" max="1" width="10.5703125" customWidth="1"/>
    <col min="2" max="2" width="10.7109375" customWidth="1"/>
    <col min="3" max="3" width="14.140625" customWidth="1"/>
    <col min="4" max="4" width="15.42578125" customWidth="1"/>
    <col min="5" max="5" width="14.28515625" customWidth="1"/>
    <col min="6" max="6" width="12.5703125" customWidth="1"/>
    <col min="7" max="7" width="5.5703125" customWidth="1"/>
    <col min="8" max="9" width="15.140625" customWidth="1"/>
    <col min="10" max="10" width="19.7109375" customWidth="1"/>
    <col min="11" max="11" width="7.140625" customWidth="1"/>
    <col min="12" max="12" width="12.85546875" customWidth="1"/>
    <col min="13" max="13" width="19.42578125" customWidth="1"/>
    <col min="14" max="14" width="21.5703125" customWidth="1"/>
    <col min="15" max="15" width="14.28515625" customWidth="1"/>
    <col min="16" max="16" width="12.5703125" customWidth="1"/>
    <col min="17" max="17" width="9.85546875" customWidth="1"/>
    <col min="18" max="19" width="19.5703125" customWidth="1"/>
    <col min="20" max="20" width="13.7109375" customWidth="1"/>
    <col min="21" max="21" width="21" customWidth="1"/>
    <col min="22" max="22" width="25" customWidth="1"/>
    <col min="23" max="23" width="9.7109375" customWidth="1"/>
    <col min="24" max="24" width="8.7109375" customWidth="1"/>
    <col min="25" max="25" width="19.5703125" customWidth="1"/>
    <col min="26" max="26" width="12.42578125" customWidth="1"/>
  </cols>
  <sheetData>
    <row r="1" spans="1:26">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row>
    <row r="2" spans="1:26" hidden="1">
      <c r="A2">
        <v>1001</v>
      </c>
      <c r="B2" s="4">
        <v>41666</v>
      </c>
      <c r="C2">
        <v>27</v>
      </c>
      <c r="D2" t="s">
        <v>36</v>
      </c>
      <c r="E2" t="s">
        <v>37</v>
      </c>
      <c r="F2" t="s">
        <v>38</v>
      </c>
      <c r="G2" t="s">
        <v>39</v>
      </c>
      <c r="H2">
        <v>99999</v>
      </c>
      <c r="I2" t="s">
        <v>40</v>
      </c>
      <c r="J2" t="s">
        <v>41</v>
      </c>
      <c r="K2" t="s">
        <v>42</v>
      </c>
      <c r="L2" s="4">
        <v>41668</v>
      </c>
      <c r="M2" t="s">
        <v>43</v>
      </c>
      <c r="N2" t="s">
        <v>44</v>
      </c>
      <c r="O2" t="s">
        <v>37</v>
      </c>
      <c r="P2" t="s">
        <v>38</v>
      </c>
      <c r="Q2" t="s">
        <v>39</v>
      </c>
      <c r="R2">
        <v>99999</v>
      </c>
      <c r="S2" t="s">
        <v>40</v>
      </c>
      <c r="T2" t="s">
        <v>45</v>
      </c>
      <c r="U2" t="s">
        <v>46</v>
      </c>
      <c r="V2" t="s">
        <v>47</v>
      </c>
      <c r="W2" s="5">
        <v>14</v>
      </c>
      <c r="X2">
        <v>49</v>
      </c>
      <c r="Y2" s="6">
        <v>686</v>
      </c>
      <c r="Z2" s="5">
        <v>66.542000000000002</v>
      </c>
    </row>
    <row r="3" spans="1:26" hidden="1">
      <c r="A3">
        <v>1002</v>
      </c>
      <c r="B3" s="4">
        <v>41666</v>
      </c>
      <c r="C3">
        <v>27</v>
      </c>
      <c r="D3" t="s">
        <v>36</v>
      </c>
      <c r="E3" t="s">
        <v>37</v>
      </c>
      <c r="F3" t="s">
        <v>38</v>
      </c>
      <c r="G3" t="s">
        <v>39</v>
      </c>
      <c r="H3">
        <v>99999</v>
      </c>
      <c r="I3" t="s">
        <v>40</v>
      </c>
      <c r="J3" t="s">
        <v>41</v>
      </c>
      <c r="K3" t="s">
        <v>42</v>
      </c>
      <c r="L3" s="4">
        <v>41668</v>
      </c>
      <c r="M3" t="s">
        <v>43</v>
      </c>
      <c r="N3" t="s">
        <v>44</v>
      </c>
      <c r="O3" t="s">
        <v>37</v>
      </c>
      <c r="P3" t="s">
        <v>38</v>
      </c>
      <c r="Q3" t="s">
        <v>39</v>
      </c>
      <c r="R3">
        <v>99999</v>
      </c>
      <c r="S3" t="s">
        <v>40</v>
      </c>
      <c r="T3" t="s">
        <v>45</v>
      </c>
      <c r="U3" t="s">
        <v>48</v>
      </c>
      <c r="V3" t="s">
        <v>49</v>
      </c>
      <c r="W3" s="5">
        <v>3.5</v>
      </c>
      <c r="X3">
        <v>47</v>
      </c>
      <c r="Y3" s="6">
        <v>164.5</v>
      </c>
      <c r="Z3" s="5">
        <v>16.6145</v>
      </c>
    </row>
    <row r="4" spans="1:26" hidden="1">
      <c r="A4">
        <v>1003</v>
      </c>
      <c r="B4" s="4">
        <v>41643</v>
      </c>
      <c r="C4">
        <v>4</v>
      </c>
      <c r="D4" t="s">
        <v>50</v>
      </c>
      <c r="E4" t="s">
        <v>51</v>
      </c>
      <c r="F4" t="s">
        <v>52</v>
      </c>
      <c r="G4" t="s">
        <v>53</v>
      </c>
      <c r="H4">
        <v>99999</v>
      </c>
      <c r="I4" t="s">
        <v>40</v>
      </c>
      <c r="J4" t="s">
        <v>54</v>
      </c>
      <c r="K4" t="s">
        <v>55</v>
      </c>
      <c r="L4" s="4">
        <v>41645</v>
      </c>
      <c r="M4" t="s">
        <v>56</v>
      </c>
      <c r="N4" t="s">
        <v>57</v>
      </c>
      <c r="O4" t="s">
        <v>51</v>
      </c>
      <c r="P4" t="s">
        <v>52</v>
      </c>
      <c r="Q4" t="s">
        <v>53</v>
      </c>
      <c r="R4">
        <v>99999</v>
      </c>
      <c r="S4" t="s">
        <v>40</v>
      </c>
      <c r="T4" t="s">
        <v>58</v>
      </c>
      <c r="U4" t="s">
        <v>59</v>
      </c>
      <c r="V4" t="s">
        <v>49</v>
      </c>
      <c r="W4" s="5">
        <v>30</v>
      </c>
      <c r="X4">
        <v>69</v>
      </c>
      <c r="Y4" s="6">
        <v>2070</v>
      </c>
      <c r="Z4" s="5">
        <v>198.72</v>
      </c>
    </row>
    <row r="5" spans="1:26" hidden="1">
      <c r="A5">
        <v>1004</v>
      </c>
      <c r="B5" s="4">
        <v>41643</v>
      </c>
      <c r="C5">
        <v>4</v>
      </c>
      <c r="D5" t="s">
        <v>50</v>
      </c>
      <c r="E5" t="s">
        <v>51</v>
      </c>
      <c r="F5" t="s">
        <v>52</v>
      </c>
      <c r="G5" t="s">
        <v>53</v>
      </c>
      <c r="H5">
        <v>99999</v>
      </c>
      <c r="I5" t="s">
        <v>40</v>
      </c>
      <c r="J5" t="s">
        <v>54</v>
      </c>
      <c r="K5" t="s">
        <v>55</v>
      </c>
      <c r="L5" s="4">
        <v>41645</v>
      </c>
      <c r="M5" t="s">
        <v>56</v>
      </c>
      <c r="N5" t="s">
        <v>57</v>
      </c>
      <c r="O5" t="s">
        <v>51</v>
      </c>
      <c r="P5" t="s">
        <v>52</v>
      </c>
      <c r="Q5" t="s">
        <v>53</v>
      </c>
      <c r="R5">
        <v>99999</v>
      </c>
      <c r="S5" t="s">
        <v>40</v>
      </c>
      <c r="T5" t="s">
        <v>58</v>
      </c>
      <c r="U5" t="s">
        <v>60</v>
      </c>
      <c r="V5" t="s">
        <v>49</v>
      </c>
      <c r="W5" s="5">
        <v>53</v>
      </c>
      <c r="X5">
        <v>89</v>
      </c>
      <c r="Y5" s="6">
        <v>4717</v>
      </c>
      <c r="Z5" s="5">
        <v>448.11500000000001</v>
      </c>
    </row>
    <row r="6" spans="1:26" hidden="1">
      <c r="A6">
        <v>1005</v>
      </c>
      <c r="B6" s="4">
        <v>41643</v>
      </c>
      <c r="C6">
        <v>4</v>
      </c>
      <c r="D6" t="s">
        <v>50</v>
      </c>
      <c r="E6" t="s">
        <v>51</v>
      </c>
      <c r="F6" t="s">
        <v>52</v>
      </c>
      <c r="G6" t="s">
        <v>53</v>
      </c>
      <c r="H6">
        <v>99999</v>
      </c>
      <c r="I6" t="s">
        <v>40</v>
      </c>
      <c r="J6" t="s">
        <v>54</v>
      </c>
      <c r="K6" t="s">
        <v>55</v>
      </c>
      <c r="L6" s="4">
        <v>41645</v>
      </c>
      <c r="M6" t="s">
        <v>56</v>
      </c>
      <c r="N6" t="s">
        <v>57</v>
      </c>
      <c r="O6" t="s">
        <v>51</v>
      </c>
      <c r="P6" t="s">
        <v>52</v>
      </c>
      <c r="Q6" t="s">
        <v>53</v>
      </c>
      <c r="R6">
        <v>99999</v>
      </c>
      <c r="S6" t="s">
        <v>40</v>
      </c>
      <c r="T6" t="s">
        <v>58</v>
      </c>
      <c r="U6" t="s">
        <v>48</v>
      </c>
      <c r="V6" t="s">
        <v>49</v>
      </c>
      <c r="W6" s="5">
        <v>3.5</v>
      </c>
      <c r="X6">
        <v>11</v>
      </c>
      <c r="Y6" s="6">
        <v>38.5</v>
      </c>
      <c r="Z6" s="5">
        <v>3.7345000000000002</v>
      </c>
    </row>
    <row r="7" spans="1:26" hidden="1">
      <c r="A7">
        <v>1006</v>
      </c>
      <c r="B7" s="4">
        <v>41651</v>
      </c>
      <c r="C7">
        <v>12</v>
      </c>
      <c r="D7" t="s">
        <v>61</v>
      </c>
      <c r="E7" t="s">
        <v>62</v>
      </c>
      <c r="F7" t="s">
        <v>38</v>
      </c>
      <c r="G7" t="s">
        <v>39</v>
      </c>
      <c r="H7">
        <v>99999</v>
      </c>
      <c r="I7" t="s">
        <v>40</v>
      </c>
      <c r="J7" t="s">
        <v>41</v>
      </c>
      <c r="K7" t="s">
        <v>42</v>
      </c>
      <c r="L7" s="4">
        <v>41653</v>
      </c>
      <c r="M7" t="s">
        <v>43</v>
      </c>
      <c r="N7" t="s">
        <v>63</v>
      </c>
      <c r="O7" t="s">
        <v>62</v>
      </c>
      <c r="P7" t="s">
        <v>38</v>
      </c>
      <c r="Q7" t="s">
        <v>39</v>
      </c>
      <c r="R7">
        <v>99999</v>
      </c>
      <c r="S7" t="s">
        <v>40</v>
      </c>
      <c r="T7" t="s">
        <v>58</v>
      </c>
      <c r="U7" t="s">
        <v>64</v>
      </c>
      <c r="V7" t="s">
        <v>47</v>
      </c>
      <c r="W7" s="5">
        <v>18</v>
      </c>
      <c r="X7">
        <v>81</v>
      </c>
      <c r="Y7" s="6">
        <v>1458</v>
      </c>
      <c r="Z7" s="5">
        <v>141.42599999999999</v>
      </c>
    </row>
    <row r="8" spans="1:26" hidden="1">
      <c r="A8">
        <v>1007</v>
      </c>
      <c r="B8" s="4">
        <v>41651</v>
      </c>
      <c r="C8">
        <v>12</v>
      </c>
      <c r="D8" t="s">
        <v>61</v>
      </c>
      <c r="E8" t="s">
        <v>62</v>
      </c>
      <c r="F8" t="s">
        <v>38</v>
      </c>
      <c r="G8" t="s">
        <v>39</v>
      </c>
      <c r="H8">
        <v>99999</v>
      </c>
      <c r="I8" t="s">
        <v>40</v>
      </c>
      <c r="J8" t="s">
        <v>41</v>
      </c>
      <c r="K8" t="s">
        <v>42</v>
      </c>
      <c r="L8" s="4">
        <v>41653</v>
      </c>
      <c r="M8" t="s">
        <v>43</v>
      </c>
      <c r="N8" t="s">
        <v>63</v>
      </c>
      <c r="O8" t="s">
        <v>62</v>
      </c>
      <c r="P8" t="s">
        <v>38</v>
      </c>
      <c r="Q8" t="s">
        <v>39</v>
      </c>
      <c r="R8">
        <v>99999</v>
      </c>
      <c r="S8" t="s">
        <v>40</v>
      </c>
      <c r="T8" t="s">
        <v>58</v>
      </c>
      <c r="U8" t="s">
        <v>65</v>
      </c>
      <c r="V8" t="s">
        <v>47</v>
      </c>
      <c r="W8" s="5">
        <v>46</v>
      </c>
      <c r="X8">
        <v>44</v>
      </c>
      <c r="Y8" s="6">
        <v>2024</v>
      </c>
      <c r="Z8" s="5">
        <v>198.352</v>
      </c>
    </row>
    <row r="9" spans="1:26">
      <c r="A9">
        <v>1008</v>
      </c>
      <c r="B9" s="4">
        <v>41647</v>
      </c>
      <c r="C9">
        <v>8</v>
      </c>
      <c r="D9" t="s">
        <v>66</v>
      </c>
      <c r="E9" t="s">
        <v>67</v>
      </c>
      <c r="F9" t="s">
        <v>68</v>
      </c>
      <c r="G9" t="s">
        <v>69</v>
      </c>
      <c r="H9">
        <v>99999</v>
      </c>
      <c r="I9" t="s">
        <v>40</v>
      </c>
      <c r="J9" t="s">
        <v>70</v>
      </c>
      <c r="K9" t="s">
        <v>71</v>
      </c>
      <c r="L9" s="4">
        <v>41649</v>
      </c>
      <c r="M9" t="s">
        <v>72</v>
      </c>
      <c r="N9" t="s">
        <v>73</v>
      </c>
      <c r="O9" t="s">
        <v>67</v>
      </c>
      <c r="P9" t="s">
        <v>68</v>
      </c>
      <c r="Q9" t="s">
        <v>69</v>
      </c>
      <c r="R9">
        <v>99999</v>
      </c>
      <c r="S9" t="s">
        <v>40</v>
      </c>
      <c r="T9" t="s">
        <v>58</v>
      </c>
      <c r="U9" t="s">
        <v>74</v>
      </c>
      <c r="V9" t="s">
        <v>75</v>
      </c>
      <c r="W9" s="5">
        <v>9.1999999999999993</v>
      </c>
      <c r="X9">
        <v>38</v>
      </c>
      <c r="Y9" s="6">
        <v>349.6</v>
      </c>
      <c r="Z9" s="5">
        <v>36.008800000000001</v>
      </c>
    </row>
    <row r="10" spans="1:26">
      <c r="A10">
        <v>1009</v>
      </c>
      <c r="B10" s="4">
        <v>41643</v>
      </c>
      <c r="C10">
        <v>4</v>
      </c>
      <c r="D10" t="s">
        <v>50</v>
      </c>
      <c r="E10" t="s">
        <v>51</v>
      </c>
      <c r="F10" t="s">
        <v>52</v>
      </c>
      <c r="G10" t="s">
        <v>53</v>
      </c>
      <c r="H10">
        <v>99999</v>
      </c>
      <c r="I10" t="s">
        <v>40</v>
      </c>
      <c r="J10" t="s">
        <v>54</v>
      </c>
      <c r="K10" t="s">
        <v>55</v>
      </c>
      <c r="L10" s="4">
        <v>41645</v>
      </c>
      <c r="M10" t="s">
        <v>72</v>
      </c>
      <c r="N10" t="s">
        <v>57</v>
      </c>
      <c r="O10" t="s">
        <v>51</v>
      </c>
      <c r="P10" t="s">
        <v>52</v>
      </c>
      <c r="Q10" t="s">
        <v>53</v>
      </c>
      <c r="R10">
        <v>99999</v>
      </c>
      <c r="S10" t="s">
        <v>40</v>
      </c>
      <c r="T10" t="s">
        <v>45</v>
      </c>
      <c r="U10" t="s">
        <v>74</v>
      </c>
      <c r="V10" t="s">
        <v>75</v>
      </c>
      <c r="W10" s="5">
        <v>9.1999999999999993</v>
      </c>
      <c r="X10">
        <v>88</v>
      </c>
      <c r="Y10" s="6">
        <v>809.6</v>
      </c>
      <c r="Z10" s="5">
        <v>79.340800000000002</v>
      </c>
    </row>
    <row r="11" spans="1:26" hidden="1">
      <c r="A11">
        <v>1010</v>
      </c>
      <c r="B11" s="4">
        <v>41668</v>
      </c>
      <c r="C11">
        <v>29</v>
      </c>
      <c r="D11" t="s">
        <v>76</v>
      </c>
      <c r="E11" t="s">
        <v>77</v>
      </c>
      <c r="F11" t="s">
        <v>78</v>
      </c>
      <c r="G11" t="s">
        <v>79</v>
      </c>
      <c r="H11">
        <v>99999</v>
      </c>
      <c r="I11" t="s">
        <v>40</v>
      </c>
      <c r="J11" t="s">
        <v>80</v>
      </c>
      <c r="K11" t="s">
        <v>42</v>
      </c>
      <c r="L11" s="4">
        <v>41670</v>
      </c>
      <c r="M11" t="s">
        <v>43</v>
      </c>
      <c r="N11" t="s">
        <v>81</v>
      </c>
      <c r="O11" t="s">
        <v>77</v>
      </c>
      <c r="P11" t="s">
        <v>78</v>
      </c>
      <c r="Q11" t="s">
        <v>79</v>
      </c>
      <c r="R11">
        <v>99999</v>
      </c>
      <c r="S11" t="s">
        <v>40</v>
      </c>
      <c r="T11" t="s">
        <v>45</v>
      </c>
      <c r="U11" t="s">
        <v>82</v>
      </c>
      <c r="V11" t="s">
        <v>83</v>
      </c>
      <c r="W11" s="5">
        <v>12.75</v>
      </c>
      <c r="X11">
        <v>94</v>
      </c>
      <c r="Y11" s="6">
        <v>1198.5</v>
      </c>
      <c r="Z11" s="5">
        <v>122.247</v>
      </c>
    </row>
    <row r="12" spans="1:26" hidden="1">
      <c r="A12">
        <v>1011</v>
      </c>
      <c r="B12" s="4">
        <v>41642</v>
      </c>
      <c r="C12">
        <v>3</v>
      </c>
      <c r="D12" t="s">
        <v>84</v>
      </c>
      <c r="E12" t="s">
        <v>85</v>
      </c>
      <c r="F12" t="s">
        <v>86</v>
      </c>
      <c r="G12" t="s">
        <v>87</v>
      </c>
      <c r="H12">
        <v>99999</v>
      </c>
      <c r="I12" t="s">
        <v>40</v>
      </c>
      <c r="J12" t="s">
        <v>41</v>
      </c>
      <c r="K12" t="s">
        <v>42</v>
      </c>
      <c r="L12" s="4">
        <v>41644</v>
      </c>
      <c r="M12" t="s">
        <v>43</v>
      </c>
      <c r="N12" t="s">
        <v>88</v>
      </c>
      <c r="O12" t="s">
        <v>85</v>
      </c>
      <c r="P12" t="s">
        <v>86</v>
      </c>
      <c r="Q12" t="s">
        <v>87</v>
      </c>
      <c r="R12">
        <v>99999</v>
      </c>
      <c r="S12" t="s">
        <v>40</v>
      </c>
      <c r="T12" t="s">
        <v>89</v>
      </c>
      <c r="U12" t="s">
        <v>90</v>
      </c>
      <c r="V12" t="s">
        <v>91</v>
      </c>
      <c r="W12" s="5">
        <v>9.65</v>
      </c>
      <c r="X12">
        <v>91</v>
      </c>
      <c r="Y12" s="6">
        <v>878.15</v>
      </c>
      <c r="Z12" s="5">
        <v>92.205749999999995</v>
      </c>
    </row>
    <row r="13" spans="1:26" hidden="1">
      <c r="A13">
        <v>1012</v>
      </c>
      <c r="B13" s="4">
        <v>41645</v>
      </c>
      <c r="C13">
        <v>6</v>
      </c>
      <c r="D13" t="s">
        <v>92</v>
      </c>
      <c r="E13" t="s">
        <v>93</v>
      </c>
      <c r="F13" t="s">
        <v>94</v>
      </c>
      <c r="G13" t="s">
        <v>95</v>
      </c>
      <c r="H13">
        <v>99999</v>
      </c>
      <c r="I13" t="s">
        <v>40</v>
      </c>
      <c r="J13" t="s">
        <v>96</v>
      </c>
      <c r="K13" t="s">
        <v>71</v>
      </c>
      <c r="L13" s="4">
        <v>41647</v>
      </c>
      <c r="M13" t="s">
        <v>43</v>
      </c>
      <c r="N13" t="s">
        <v>97</v>
      </c>
      <c r="O13" t="s">
        <v>93</v>
      </c>
      <c r="P13" t="s">
        <v>94</v>
      </c>
      <c r="Q13" t="s">
        <v>95</v>
      </c>
      <c r="R13">
        <v>99999</v>
      </c>
      <c r="S13" t="s">
        <v>40</v>
      </c>
      <c r="T13" t="s">
        <v>58</v>
      </c>
      <c r="U13" t="s">
        <v>98</v>
      </c>
      <c r="V13" t="s">
        <v>99</v>
      </c>
      <c r="W13" s="5">
        <v>40</v>
      </c>
      <c r="X13">
        <v>32</v>
      </c>
      <c r="Y13" s="6">
        <v>1280</v>
      </c>
      <c r="Z13" s="5">
        <v>133.12</v>
      </c>
    </row>
    <row r="14" spans="1:26" hidden="1">
      <c r="A14">
        <v>1013</v>
      </c>
      <c r="B14" s="4">
        <v>41667</v>
      </c>
      <c r="C14">
        <v>28</v>
      </c>
      <c r="D14" t="s">
        <v>100</v>
      </c>
      <c r="E14" t="s">
        <v>101</v>
      </c>
      <c r="F14" t="s">
        <v>102</v>
      </c>
      <c r="G14" t="s">
        <v>103</v>
      </c>
      <c r="H14">
        <v>99999</v>
      </c>
      <c r="I14" t="s">
        <v>40</v>
      </c>
      <c r="J14" t="s">
        <v>104</v>
      </c>
      <c r="K14" t="s">
        <v>105</v>
      </c>
      <c r="L14" s="4">
        <v>41669</v>
      </c>
      <c r="M14" t="s">
        <v>72</v>
      </c>
      <c r="N14" t="s">
        <v>106</v>
      </c>
      <c r="O14" t="s">
        <v>101</v>
      </c>
      <c r="P14" t="s">
        <v>102</v>
      </c>
      <c r="Q14" t="s">
        <v>103</v>
      </c>
      <c r="R14">
        <v>99999</v>
      </c>
      <c r="S14" t="s">
        <v>40</v>
      </c>
      <c r="T14" t="s">
        <v>45</v>
      </c>
      <c r="U14" t="s">
        <v>65</v>
      </c>
      <c r="V14" t="s">
        <v>47</v>
      </c>
      <c r="W14" s="5">
        <v>46</v>
      </c>
      <c r="X14">
        <v>55</v>
      </c>
      <c r="Y14" s="6">
        <v>2530</v>
      </c>
      <c r="Z14" s="5">
        <v>253</v>
      </c>
    </row>
    <row r="15" spans="1:26" hidden="1">
      <c r="A15">
        <v>1014</v>
      </c>
      <c r="B15" s="4">
        <v>41647</v>
      </c>
      <c r="C15">
        <v>8</v>
      </c>
      <c r="D15" t="s">
        <v>66</v>
      </c>
      <c r="E15" t="s">
        <v>67</v>
      </c>
      <c r="F15" t="s">
        <v>68</v>
      </c>
      <c r="G15" t="s">
        <v>69</v>
      </c>
      <c r="H15">
        <v>99999</v>
      </c>
      <c r="I15" t="s">
        <v>40</v>
      </c>
      <c r="J15" t="s">
        <v>70</v>
      </c>
      <c r="K15" t="s">
        <v>71</v>
      </c>
      <c r="L15" s="4">
        <v>41649</v>
      </c>
      <c r="M15" t="s">
        <v>72</v>
      </c>
      <c r="N15" t="s">
        <v>73</v>
      </c>
      <c r="O15" t="s">
        <v>67</v>
      </c>
      <c r="P15" t="s">
        <v>68</v>
      </c>
      <c r="Q15" t="s">
        <v>69</v>
      </c>
      <c r="R15">
        <v>99999</v>
      </c>
      <c r="S15" t="s">
        <v>40</v>
      </c>
      <c r="T15" t="s">
        <v>45</v>
      </c>
      <c r="U15" t="s">
        <v>82</v>
      </c>
      <c r="V15" t="s">
        <v>83</v>
      </c>
      <c r="W15" s="5">
        <v>12.75</v>
      </c>
      <c r="X15">
        <v>47</v>
      </c>
      <c r="Y15" s="6">
        <v>599.25</v>
      </c>
      <c r="Z15" s="5">
        <v>61.722749999999998</v>
      </c>
    </row>
    <row r="16" spans="1:26" hidden="1">
      <c r="A16">
        <v>1015</v>
      </c>
      <c r="B16" s="4">
        <v>41649</v>
      </c>
      <c r="C16">
        <v>10</v>
      </c>
      <c r="D16" t="s">
        <v>107</v>
      </c>
      <c r="E16" t="s">
        <v>108</v>
      </c>
      <c r="F16" t="s">
        <v>109</v>
      </c>
      <c r="G16" t="s">
        <v>110</v>
      </c>
      <c r="H16">
        <v>99999</v>
      </c>
      <c r="I16" t="s">
        <v>40</v>
      </c>
      <c r="J16" t="s">
        <v>111</v>
      </c>
      <c r="K16" t="s">
        <v>55</v>
      </c>
      <c r="L16" s="4">
        <v>41651</v>
      </c>
      <c r="M16" t="s">
        <v>43</v>
      </c>
      <c r="N16" t="s">
        <v>112</v>
      </c>
      <c r="O16" t="s">
        <v>108</v>
      </c>
      <c r="P16" t="s">
        <v>109</v>
      </c>
      <c r="Q16" t="s">
        <v>110</v>
      </c>
      <c r="R16">
        <v>99999</v>
      </c>
      <c r="S16" t="s">
        <v>40</v>
      </c>
      <c r="T16" t="s">
        <v>58</v>
      </c>
      <c r="U16" t="s">
        <v>113</v>
      </c>
      <c r="V16" t="s">
        <v>47</v>
      </c>
      <c r="W16" s="5">
        <v>2.99</v>
      </c>
      <c r="X16">
        <v>90</v>
      </c>
      <c r="Y16" s="6">
        <v>269.10000000000002</v>
      </c>
      <c r="Z16" s="5">
        <v>27.717300000000002</v>
      </c>
    </row>
    <row r="17" spans="1:26" hidden="1">
      <c r="A17">
        <v>1016</v>
      </c>
      <c r="B17" s="4">
        <v>41646</v>
      </c>
      <c r="C17">
        <v>7</v>
      </c>
      <c r="D17" t="s">
        <v>114</v>
      </c>
      <c r="E17" t="s">
        <v>115</v>
      </c>
      <c r="F17" t="s">
        <v>116</v>
      </c>
      <c r="G17" t="s">
        <v>117</v>
      </c>
      <c r="H17">
        <v>99999</v>
      </c>
      <c r="I17" t="s">
        <v>40</v>
      </c>
      <c r="J17" t="s">
        <v>70</v>
      </c>
      <c r="K17" t="s">
        <v>71</v>
      </c>
      <c r="N17" t="s">
        <v>118</v>
      </c>
      <c r="O17" t="s">
        <v>115</v>
      </c>
      <c r="P17" t="s">
        <v>116</v>
      </c>
      <c r="Q17" t="s">
        <v>117</v>
      </c>
      <c r="R17">
        <v>99999</v>
      </c>
      <c r="S17" t="s">
        <v>40</v>
      </c>
      <c r="U17" t="s">
        <v>65</v>
      </c>
      <c r="V17" t="s">
        <v>47</v>
      </c>
      <c r="W17" s="5">
        <v>46</v>
      </c>
      <c r="X17">
        <v>24</v>
      </c>
      <c r="Y17" s="6">
        <v>1104</v>
      </c>
      <c r="Z17" s="5">
        <v>110.4</v>
      </c>
    </row>
    <row r="18" spans="1:26" hidden="1">
      <c r="A18">
        <v>1017</v>
      </c>
      <c r="B18" s="4">
        <v>41649</v>
      </c>
      <c r="C18">
        <v>10</v>
      </c>
      <c r="D18" t="s">
        <v>107</v>
      </c>
      <c r="E18" t="s">
        <v>108</v>
      </c>
      <c r="F18" t="s">
        <v>109</v>
      </c>
      <c r="G18" t="s">
        <v>110</v>
      </c>
      <c r="H18">
        <v>99999</v>
      </c>
      <c r="I18" t="s">
        <v>40</v>
      </c>
      <c r="J18" t="s">
        <v>111</v>
      </c>
      <c r="K18" t="s">
        <v>55</v>
      </c>
      <c r="L18" s="4">
        <v>41651</v>
      </c>
      <c r="M18" t="s">
        <v>56</v>
      </c>
      <c r="N18" t="s">
        <v>112</v>
      </c>
      <c r="O18" t="s">
        <v>108</v>
      </c>
      <c r="P18" t="s">
        <v>109</v>
      </c>
      <c r="Q18" t="s">
        <v>110</v>
      </c>
      <c r="R18">
        <v>99999</v>
      </c>
      <c r="S18" t="s">
        <v>40</v>
      </c>
      <c r="U18" t="s">
        <v>119</v>
      </c>
      <c r="V18" t="s">
        <v>120</v>
      </c>
      <c r="W18" s="5">
        <v>25</v>
      </c>
      <c r="X18">
        <v>34</v>
      </c>
      <c r="Y18" s="6">
        <v>850</v>
      </c>
      <c r="Z18" s="5">
        <v>80.75</v>
      </c>
    </row>
    <row r="19" spans="1:26" hidden="1">
      <c r="A19">
        <v>1018</v>
      </c>
      <c r="B19" s="4">
        <v>41649</v>
      </c>
      <c r="C19">
        <v>10</v>
      </c>
      <c r="D19" t="s">
        <v>107</v>
      </c>
      <c r="E19" t="s">
        <v>108</v>
      </c>
      <c r="F19" t="s">
        <v>109</v>
      </c>
      <c r="G19" t="s">
        <v>110</v>
      </c>
      <c r="H19">
        <v>99999</v>
      </c>
      <c r="I19" t="s">
        <v>40</v>
      </c>
      <c r="J19" t="s">
        <v>111</v>
      </c>
      <c r="K19" t="s">
        <v>55</v>
      </c>
      <c r="L19" s="4">
        <v>41651</v>
      </c>
      <c r="M19" t="s">
        <v>56</v>
      </c>
      <c r="N19" t="s">
        <v>112</v>
      </c>
      <c r="O19" t="s">
        <v>108</v>
      </c>
      <c r="P19" t="s">
        <v>109</v>
      </c>
      <c r="Q19" t="s">
        <v>110</v>
      </c>
      <c r="R19">
        <v>99999</v>
      </c>
      <c r="S19" t="s">
        <v>40</v>
      </c>
      <c r="U19" t="s">
        <v>121</v>
      </c>
      <c r="V19" t="s">
        <v>122</v>
      </c>
      <c r="W19" s="5">
        <v>22</v>
      </c>
      <c r="X19">
        <v>17</v>
      </c>
      <c r="Y19" s="6">
        <v>374</v>
      </c>
      <c r="Z19" s="5">
        <v>35.904000000000003</v>
      </c>
    </row>
    <row r="20" spans="1:26">
      <c r="A20">
        <v>1019</v>
      </c>
      <c r="B20" s="4">
        <v>41649</v>
      </c>
      <c r="C20">
        <v>10</v>
      </c>
      <c r="D20" t="s">
        <v>107</v>
      </c>
      <c r="E20" t="s">
        <v>108</v>
      </c>
      <c r="F20" t="s">
        <v>109</v>
      </c>
      <c r="G20" t="s">
        <v>110</v>
      </c>
      <c r="H20">
        <v>99999</v>
      </c>
      <c r="I20" t="s">
        <v>40</v>
      </c>
      <c r="J20" t="s">
        <v>111</v>
      </c>
      <c r="K20" t="s">
        <v>55</v>
      </c>
      <c r="L20" s="4">
        <v>41651</v>
      </c>
      <c r="M20" t="s">
        <v>56</v>
      </c>
      <c r="N20" t="s">
        <v>112</v>
      </c>
      <c r="O20" t="s">
        <v>108</v>
      </c>
      <c r="P20" t="s">
        <v>109</v>
      </c>
      <c r="Q20" t="s">
        <v>110</v>
      </c>
      <c r="R20">
        <v>99999</v>
      </c>
      <c r="S20" t="s">
        <v>40</v>
      </c>
      <c r="U20" t="s">
        <v>74</v>
      </c>
      <c r="V20" t="s">
        <v>75</v>
      </c>
      <c r="W20" s="5">
        <v>9.1999999999999993</v>
      </c>
      <c r="X20">
        <v>44</v>
      </c>
      <c r="Y20" s="6">
        <v>404.8</v>
      </c>
      <c r="Z20" s="5">
        <v>42.099200000000003</v>
      </c>
    </row>
    <row r="21" spans="1:26" hidden="1">
      <c r="A21">
        <v>1020</v>
      </c>
      <c r="B21" s="4">
        <v>41650</v>
      </c>
      <c r="C21">
        <v>11</v>
      </c>
      <c r="D21" t="s">
        <v>123</v>
      </c>
      <c r="E21" t="s">
        <v>124</v>
      </c>
      <c r="F21" t="s">
        <v>125</v>
      </c>
      <c r="G21" t="s">
        <v>126</v>
      </c>
      <c r="H21">
        <v>99999</v>
      </c>
      <c r="I21" t="s">
        <v>40</v>
      </c>
      <c r="J21" t="s">
        <v>104</v>
      </c>
      <c r="K21" t="s">
        <v>105</v>
      </c>
      <c r="M21" t="s">
        <v>72</v>
      </c>
      <c r="N21" t="s">
        <v>127</v>
      </c>
      <c r="O21" t="s">
        <v>124</v>
      </c>
      <c r="P21" t="s">
        <v>125</v>
      </c>
      <c r="Q21" t="s">
        <v>126</v>
      </c>
      <c r="R21">
        <v>99999</v>
      </c>
      <c r="S21" t="s">
        <v>40</v>
      </c>
      <c r="U21" t="s">
        <v>48</v>
      </c>
      <c r="V21" t="s">
        <v>49</v>
      </c>
      <c r="W21" s="5">
        <v>3.5</v>
      </c>
      <c r="X21">
        <v>81</v>
      </c>
      <c r="Y21" s="6">
        <v>283.5</v>
      </c>
      <c r="Z21" s="5">
        <v>27.499500000000001</v>
      </c>
    </row>
    <row r="22" spans="1:26" hidden="1">
      <c r="A22">
        <v>1021</v>
      </c>
      <c r="B22" s="4">
        <v>41650</v>
      </c>
      <c r="C22">
        <v>11</v>
      </c>
      <c r="D22" t="s">
        <v>123</v>
      </c>
      <c r="E22" t="s">
        <v>124</v>
      </c>
      <c r="F22" t="s">
        <v>125</v>
      </c>
      <c r="G22" t="s">
        <v>126</v>
      </c>
      <c r="H22">
        <v>99999</v>
      </c>
      <c r="I22" t="s">
        <v>40</v>
      </c>
      <c r="J22" t="s">
        <v>104</v>
      </c>
      <c r="K22" t="s">
        <v>105</v>
      </c>
      <c r="M22" t="s">
        <v>72</v>
      </c>
      <c r="N22" t="s">
        <v>127</v>
      </c>
      <c r="O22" t="s">
        <v>124</v>
      </c>
      <c r="P22" t="s">
        <v>125</v>
      </c>
      <c r="Q22" t="s">
        <v>126</v>
      </c>
      <c r="R22">
        <v>99999</v>
      </c>
      <c r="S22" t="s">
        <v>40</v>
      </c>
      <c r="U22" t="s">
        <v>113</v>
      </c>
      <c r="V22" t="s">
        <v>47</v>
      </c>
      <c r="W22" s="5">
        <v>2.99</v>
      </c>
      <c r="X22">
        <v>49</v>
      </c>
      <c r="Y22" s="6">
        <v>146.51</v>
      </c>
      <c r="Z22" s="5">
        <v>15.090529999999999</v>
      </c>
    </row>
    <row r="23" spans="1:26" hidden="1">
      <c r="A23">
        <v>1022</v>
      </c>
      <c r="B23" s="4">
        <v>41640</v>
      </c>
      <c r="C23">
        <v>1</v>
      </c>
      <c r="D23" t="s">
        <v>128</v>
      </c>
      <c r="E23" t="s">
        <v>129</v>
      </c>
      <c r="F23" t="s">
        <v>130</v>
      </c>
      <c r="G23" t="s">
        <v>131</v>
      </c>
      <c r="H23">
        <v>99999</v>
      </c>
      <c r="I23" t="s">
        <v>40</v>
      </c>
      <c r="J23" t="s">
        <v>70</v>
      </c>
      <c r="K23" t="s">
        <v>71</v>
      </c>
      <c r="N23" t="s">
        <v>132</v>
      </c>
      <c r="O23" t="s">
        <v>129</v>
      </c>
      <c r="P23" t="s">
        <v>130</v>
      </c>
      <c r="Q23" t="s">
        <v>131</v>
      </c>
      <c r="R23">
        <v>99999</v>
      </c>
      <c r="S23" t="s">
        <v>40</v>
      </c>
      <c r="U23" t="s">
        <v>64</v>
      </c>
      <c r="V23" t="s">
        <v>47</v>
      </c>
      <c r="W23" s="5">
        <v>18</v>
      </c>
      <c r="X23">
        <v>42</v>
      </c>
      <c r="Y23" s="6">
        <v>756</v>
      </c>
      <c r="Z23" s="5">
        <v>75.599999999999994</v>
      </c>
    </row>
    <row r="24" spans="1:26" hidden="1">
      <c r="A24">
        <v>1023</v>
      </c>
      <c r="B24" s="4">
        <v>41640</v>
      </c>
      <c r="C24">
        <v>1</v>
      </c>
      <c r="D24" t="s">
        <v>128</v>
      </c>
      <c r="E24" t="s">
        <v>129</v>
      </c>
      <c r="F24" t="s">
        <v>130</v>
      </c>
      <c r="G24" t="s">
        <v>131</v>
      </c>
      <c r="H24">
        <v>99999</v>
      </c>
      <c r="I24" t="s">
        <v>40</v>
      </c>
      <c r="J24" t="s">
        <v>70</v>
      </c>
      <c r="K24" t="s">
        <v>71</v>
      </c>
      <c r="N24" t="s">
        <v>132</v>
      </c>
      <c r="O24" t="s">
        <v>129</v>
      </c>
      <c r="P24" t="s">
        <v>130</v>
      </c>
      <c r="Q24" t="s">
        <v>131</v>
      </c>
      <c r="R24">
        <v>99999</v>
      </c>
      <c r="S24" t="s">
        <v>40</v>
      </c>
      <c r="U24" t="s">
        <v>65</v>
      </c>
      <c r="V24" t="s">
        <v>47</v>
      </c>
      <c r="W24" s="5">
        <v>46</v>
      </c>
      <c r="X24">
        <v>58</v>
      </c>
      <c r="Y24" s="6">
        <v>2668</v>
      </c>
      <c r="Z24" s="5">
        <v>269.46800000000002</v>
      </c>
    </row>
    <row r="25" spans="1:26" hidden="1">
      <c r="A25">
        <v>1024</v>
      </c>
      <c r="B25" s="4">
        <v>41640</v>
      </c>
      <c r="C25">
        <v>1</v>
      </c>
      <c r="D25" t="s">
        <v>128</v>
      </c>
      <c r="E25" t="s">
        <v>129</v>
      </c>
      <c r="F25" t="s">
        <v>130</v>
      </c>
      <c r="G25" t="s">
        <v>131</v>
      </c>
      <c r="H25">
        <v>99999</v>
      </c>
      <c r="I25" t="s">
        <v>40</v>
      </c>
      <c r="J25" t="s">
        <v>70</v>
      </c>
      <c r="K25" t="s">
        <v>71</v>
      </c>
      <c r="N25" t="s">
        <v>132</v>
      </c>
      <c r="O25" t="s">
        <v>129</v>
      </c>
      <c r="P25" t="s">
        <v>130</v>
      </c>
      <c r="Q25" t="s">
        <v>131</v>
      </c>
      <c r="R25">
        <v>99999</v>
      </c>
      <c r="S25" t="s">
        <v>40</v>
      </c>
      <c r="U25" t="s">
        <v>113</v>
      </c>
      <c r="V25" t="s">
        <v>47</v>
      </c>
      <c r="W25" s="5">
        <v>2.99</v>
      </c>
      <c r="X25">
        <v>67</v>
      </c>
      <c r="Y25" s="6">
        <v>200.33</v>
      </c>
      <c r="Z25" s="5">
        <v>20.033000000000001</v>
      </c>
    </row>
    <row r="26" spans="1:26" hidden="1">
      <c r="A26">
        <v>1025</v>
      </c>
      <c r="B26" s="4">
        <v>41667</v>
      </c>
      <c r="C26">
        <v>28</v>
      </c>
      <c r="D26" t="s">
        <v>100</v>
      </c>
      <c r="E26" t="s">
        <v>101</v>
      </c>
      <c r="F26" t="s">
        <v>102</v>
      </c>
      <c r="G26" t="s">
        <v>103</v>
      </c>
      <c r="H26">
        <v>99999</v>
      </c>
      <c r="I26" t="s">
        <v>40</v>
      </c>
      <c r="J26" t="s">
        <v>104</v>
      </c>
      <c r="K26" t="s">
        <v>105</v>
      </c>
      <c r="L26" s="4">
        <v>41669</v>
      </c>
      <c r="M26" t="s">
        <v>72</v>
      </c>
      <c r="N26" t="s">
        <v>106</v>
      </c>
      <c r="O26" t="s">
        <v>101</v>
      </c>
      <c r="P26" t="s">
        <v>102</v>
      </c>
      <c r="Q26" t="s">
        <v>103</v>
      </c>
      <c r="R26">
        <v>99999</v>
      </c>
      <c r="S26" t="s">
        <v>40</v>
      </c>
      <c r="T26" t="s">
        <v>58</v>
      </c>
      <c r="U26" t="s">
        <v>90</v>
      </c>
      <c r="V26" t="s">
        <v>91</v>
      </c>
      <c r="W26" s="5">
        <v>9.65</v>
      </c>
      <c r="X26">
        <v>100</v>
      </c>
      <c r="Y26" s="6">
        <v>965</v>
      </c>
      <c r="Z26" s="5">
        <v>93.605000000000004</v>
      </c>
    </row>
    <row r="27" spans="1:26" hidden="1">
      <c r="A27">
        <v>1026</v>
      </c>
      <c r="B27" s="4">
        <v>41667</v>
      </c>
      <c r="C27">
        <v>28</v>
      </c>
      <c r="D27" t="s">
        <v>100</v>
      </c>
      <c r="E27" t="s">
        <v>101</v>
      </c>
      <c r="F27" t="s">
        <v>102</v>
      </c>
      <c r="G27" t="s">
        <v>103</v>
      </c>
      <c r="H27">
        <v>99999</v>
      </c>
      <c r="I27" t="s">
        <v>40</v>
      </c>
      <c r="J27" t="s">
        <v>104</v>
      </c>
      <c r="K27" t="s">
        <v>105</v>
      </c>
      <c r="L27" s="4">
        <v>41669</v>
      </c>
      <c r="M27" t="s">
        <v>72</v>
      </c>
      <c r="N27" t="s">
        <v>106</v>
      </c>
      <c r="O27" t="s">
        <v>101</v>
      </c>
      <c r="P27" t="s">
        <v>102</v>
      </c>
      <c r="Q27" t="s">
        <v>103</v>
      </c>
      <c r="R27">
        <v>99999</v>
      </c>
      <c r="S27" t="s">
        <v>40</v>
      </c>
      <c r="T27" t="s">
        <v>58</v>
      </c>
      <c r="U27" t="s">
        <v>133</v>
      </c>
      <c r="V27" t="s">
        <v>134</v>
      </c>
      <c r="W27" s="5">
        <v>18.399999999999999</v>
      </c>
      <c r="X27">
        <v>63</v>
      </c>
      <c r="Y27" s="6">
        <v>1159.2</v>
      </c>
      <c r="Z27" s="5">
        <v>114.7608</v>
      </c>
    </row>
    <row r="28" spans="1:26" hidden="1">
      <c r="A28">
        <v>1027</v>
      </c>
      <c r="B28" s="4">
        <v>41648</v>
      </c>
      <c r="C28">
        <v>9</v>
      </c>
      <c r="D28" t="s">
        <v>135</v>
      </c>
      <c r="E28" t="s">
        <v>136</v>
      </c>
      <c r="F28" t="s">
        <v>137</v>
      </c>
      <c r="G28" t="s">
        <v>138</v>
      </c>
      <c r="H28">
        <v>99999</v>
      </c>
      <c r="I28" t="s">
        <v>40</v>
      </c>
      <c r="J28" t="s">
        <v>139</v>
      </c>
      <c r="K28" t="s">
        <v>42</v>
      </c>
      <c r="L28" s="4">
        <v>41650</v>
      </c>
      <c r="M28" t="s">
        <v>56</v>
      </c>
      <c r="N28" t="s">
        <v>140</v>
      </c>
      <c r="O28" t="s">
        <v>136</v>
      </c>
      <c r="P28" t="s">
        <v>137</v>
      </c>
      <c r="Q28" t="s">
        <v>138</v>
      </c>
      <c r="R28">
        <v>99999</v>
      </c>
      <c r="S28" t="s">
        <v>40</v>
      </c>
      <c r="T28" t="s">
        <v>45</v>
      </c>
      <c r="U28" t="s">
        <v>141</v>
      </c>
      <c r="V28" t="s">
        <v>142</v>
      </c>
      <c r="W28" s="5">
        <v>19.5</v>
      </c>
      <c r="X28">
        <v>57</v>
      </c>
      <c r="Y28" s="6">
        <v>1111.5</v>
      </c>
      <c r="Z28" s="5">
        <v>110.0385</v>
      </c>
    </row>
    <row r="29" spans="1:26" hidden="1">
      <c r="A29">
        <v>1028</v>
      </c>
      <c r="B29" s="4">
        <v>41648</v>
      </c>
      <c r="C29">
        <v>9</v>
      </c>
      <c r="D29" t="s">
        <v>135</v>
      </c>
      <c r="E29" t="s">
        <v>136</v>
      </c>
      <c r="F29" t="s">
        <v>137</v>
      </c>
      <c r="G29" t="s">
        <v>138</v>
      </c>
      <c r="H29">
        <v>99999</v>
      </c>
      <c r="I29" t="s">
        <v>40</v>
      </c>
      <c r="J29" t="s">
        <v>139</v>
      </c>
      <c r="K29" t="s">
        <v>42</v>
      </c>
      <c r="L29" s="4">
        <v>41650</v>
      </c>
      <c r="M29" t="s">
        <v>56</v>
      </c>
      <c r="N29" t="s">
        <v>140</v>
      </c>
      <c r="O29" t="s">
        <v>136</v>
      </c>
      <c r="P29" t="s">
        <v>137</v>
      </c>
      <c r="Q29" t="s">
        <v>138</v>
      </c>
      <c r="R29">
        <v>99999</v>
      </c>
      <c r="S29" t="s">
        <v>40</v>
      </c>
      <c r="T29" t="s">
        <v>45</v>
      </c>
      <c r="U29" t="s">
        <v>143</v>
      </c>
      <c r="V29" t="s">
        <v>144</v>
      </c>
      <c r="W29" s="5">
        <v>34.799999999999997</v>
      </c>
      <c r="X29">
        <v>81</v>
      </c>
      <c r="Y29" s="6">
        <v>2818.8</v>
      </c>
      <c r="Z29" s="5">
        <v>295.97399999999999</v>
      </c>
    </row>
    <row r="30" spans="1:26" hidden="1">
      <c r="A30">
        <v>1029</v>
      </c>
      <c r="B30" s="4">
        <v>41645</v>
      </c>
      <c r="C30">
        <v>6</v>
      </c>
      <c r="D30" t="s">
        <v>92</v>
      </c>
      <c r="E30" t="s">
        <v>93</v>
      </c>
      <c r="F30" t="s">
        <v>94</v>
      </c>
      <c r="G30" t="s">
        <v>95</v>
      </c>
      <c r="H30">
        <v>99999</v>
      </c>
      <c r="I30" t="s">
        <v>40</v>
      </c>
      <c r="J30" t="s">
        <v>96</v>
      </c>
      <c r="K30" t="s">
        <v>71</v>
      </c>
      <c r="L30" s="4">
        <v>41647</v>
      </c>
      <c r="M30" t="s">
        <v>43</v>
      </c>
      <c r="N30" t="s">
        <v>97</v>
      </c>
      <c r="O30" t="s">
        <v>93</v>
      </c>
      <c r="P30" t="s">
        <v>94</v>
      </c>
      <c r="Q30" t="s">
        <v>95</v>
      </c>
      <c r="R30">
        <v>99999</v>
      </c>
      <c r="S30" t="s">
        <v>40</v>
      </c>
      <c r="T30" t="s">
        <v>58</v>
      </c>
      <c r="U30" t="s">
        <v>46</v>
      </c>
      <c r="V30" t="s">
        <v>47</v>
      </c>
      <c r="W30" s="5">
        <v>14</v>
      </c>
      <c r="X30">
        <v>71</v>
      </c>
      <c r="Y30" s="6">
        <v>994</v>
      </c>
      <c r="Z30" s="5">
        <v>95.424000000000007</v>
      </c>
    </row>
    <row r="31" spans="1:26" hidden="1">
      <c r="A31">
        <v>1030</v>
      </c>
      <c r="B31" s="4">
        <v>41678</v>
      </c>
      <c r="C31">
        <v>8</v>
      </c>
      <c r="D31" t="s">
        <v>66</v>
      </c>
      <c r="E31" t="s">
        <v>67</v>
      </c>
      <c r="F31" t="s">
        <v>68</v>
      </c>
      <c r="G31" t="s">
        <v>69</v>
      </c>
      <c r="H31">
        <v>99999</v>
      </c>
      <c r="I31" t="s">
        <v>40</v>
      </c>
      <c r="J31" t="s">
        <v>70</v>
      </c>
      <c r="K31" t="s">
        <v>71</v>
      </c>
      <c r="L31" s="4">
        <v>41680</v>
      </c>
      <c r="M31" t="s">
        <v>43</v>
      </c>
      <c r="N31" t="s">
        <v>73</v>
      </c>
      <c r="O31" t="s">
        <v>67</v>
      </c>
      <c r="P31" t="s">
        <v>68</v>
      </c>
      <c r="Q31" t="s">
        <v>69</v>
      </c>
      <c r="R31">
        <v>99999</v>
      </c>
      <c r="S31" t="s">
        <v>40</v>
      </c>
      <c r="T31" t="s">
        <v>45</v>
      </c>
      <c r="U31" t="s">
        <v>98</v>
      </c>
      <c r="V31" t="s">
        <v>99</v>
      </c>
      <c r="W31" s="5">
        <v>40</v>
      </c>
      <c r="X31">
        <v>32</v>
      </c>
      <c r="Y31" s="6">
        <v>1280</v>
      </c>
      <c r="Z31" s="5">
        <v>129.28</v>
      </c>
    </row>
    <row r="32" spans="1:26" hidden="1">
      <c r="A32">
        <v>1031</v>
      </c>
      <c r="B32" s="4">
        <v>41673</v>
      </c>
      <c r="C32">
        <v>3</v>
      </c>
      <c r="D32" t="s">
        <v>84</v>
      </c>
      <c r="E32" t="s">
        <v>85</v>
      </c>
      <c r="F32" t="s">
        <v>86</v>
      </c>
      <c r="G32" t="s">
        <v>87</v>
      </c>
      <c r="H32">
        <v>99999</v>
      </c>
      <c r="I32" t="s">
        <v>40</v>
      </c>
      <c r="J32" t="s">
        <v>41</v>
      </c>
      <c r="K32" t="s">
        <v>42</v>
      </c>
      <c r="L32" s="4">
        <v>41675</v>
      </c>
      <c r="M32" t="s">
        <v>43</v>
      </c>
      <c r="N32" t="s">
        <v>88</v>
      </c>
      <c r="O32" t="s">
        <v>85</v>
      </c>
      <c r="P32" t="s">
        <v>86</v>
      </c>
      <c r="Q32" t="s">
        <v>87</v>
      </c>
      <c r="R32">
        <v>99999</v>
      </c>
      <c r="S32" t="s">
        <v>40</v>
      </c>
      <c r="T32" t="s">
        <v>89</v>
      </c>
      <c r="U32" t="s">
        <v>145</v>
      </c>
      <c r="V32" t="s">
        <v>122</v>
      </c>
      <c r="W32">
        <v>10</v>
      </c>
      <c r="X32">
        <v>63</v>
      </c>
      <c r="Y32" s="6">
        <v>630</v>
      </c>
      <c r="Z32" s="5">
        <v>65.52</v>
      </c>
    </row>
    <row r="33" spans="1:26" hidden="1">
      <c r="A33">
        <v>1032</v>
      </c>
      <c r="B33" s="4">
        <v>41673</v>
      </c>
      <c r="C33">
        <v>3</v>
      </c>
      <c r="D33" t="s">
        <v>84</v>
      </c>
      <c r="E33" t="s">
        <v>85</v>
      </c>
      <c r="F33" t="s">
        <v>86</v>
      </c>
      <c r="G33" t="s">
        <v>87</v>
      </c>
      <c r="H33">
        <v>99999</v>
      </c>
      <c r="I33" t="s">
        <v>40</v>
      </c>
      <c r="J33" t="s">
        <v>41</v>
      </c>
      <c r="K33" t="s">
        <v>42</v>
      </c>
      <c r="L33" s="4">
        <v>41675</v>
      </c>
      <c r="M33" t="s">
        <v>43</v>
      </c>
      <c r="N33" t="s">
        <v>88</v>
      </c>
      <c r="O33" t="s">
        <v>85</v>
      </c>
      <c r="P33" t="s">
        <v>86</v>
      </c>
      <c r="Q33" t="s">
        <v>87</v>
      </c>
      <c r="R33">
        <v>99999</v>
      </c>
      <c r="S33" t="s">
        <v>40</v>
      </c>
      <c r="T33" t="s">
        <v>89</v>
      </c>
      <c r="U33" t="s">
        <v>98</v>
      </c>
      <c r="V33" t="s">
        <v>99</v>
      </c>
      <c r="W33">
        <v>40</v>
      </c>
      <c r="X33">
        <v>30</v>
      </c>
      <c r="Y33" s="6">
        <v>1200</v>
      </c>
      <c r="Z33" s="5">
        <v>120</v>
      </c>
    </row>
    <row r="34" spans="1:26" hidden="1">
      <c r="A34">
        <v>1033</v>
      </c>
      <c r="B34" s="4">
        <v>41676</v>
      </c>
      <c r="C34">
        <v>6</v>
      </c>
      <c r="D34" t="s">
        <v>92</v>
      </c>
      <c r="E34" t="s">
        <v>93</v>
      </c>
      <c r="F34" t="s">
        <v>94</v>
      </c>
      <c r="G34" t="s">
        <v>95</v>
      </c>
      <c r="H34">
        <v>99999</v>
      </c>
      <c r="I34" t="s">
        <v>40</v>
      </c>
      <c r="J34" t="s">
        <v>96</v>
      </c>
      <c r="K34" t="s">
        <v>71</v>
      </c>
      <c r="L34" s="4">
        <v>41678</v>
      </c>
      <c r="M34" t="s">
        <v>43</v>
      </c>
      <c r="N34" t="s">
        <v>97</v>
      </c>
      <c r="O34" t="s">
        <v>93</v>
      </c>
      <c r="P34" t="s">
        <v>94</v>
      </c>
      <c r="Q34" t="s">
        <v>95</v>
      </c>
      <c r="R34">
        <v>99999</v>
      </c>
      <c r="S34" t="s">
        <v>40</v>
      </c>
      <c r="T34" t="s">
        <v>58</v>
      </c>
      <c r="V34" t="s">
        <v>146</v>
      </c>
      <c r="Y34" s="6">
        <v>10</v>
      </c>
      <c r="Z34" s="5">
        <v>43</v>
      </c>
    </row>
    <row r="35" spans="1:26" hidden="1">
      <c r="A35">
        <v>1034</v>
      </c>
      <c r="B35" s="4">
        <v>41698</v>
      </c>
      <c r="C35">
        <v>28</v>
      </c>
      <c r="D35" t="s">
        <v>100</v>
      </c>
      <c r="E35" t="s">
        <v>101</v>
      </c>
      <c r="F35" t="s">
        <v>102</v>
      </c>
      <c r="G35" t="s">
        <v>103</v>
      </c>
      <c r="H35">
        <v>99999</v>
      </c>
      <c r="I35" t="s">
        <v>40</v>
      </c>
      <c r="J35" t="s">
        <v>104</v>
      </c>
      <c r="K35" t="s">
        <v>105</v>
      </c>
      <c r="L35" s="4">
        <v>41700</v>
      </c>
      <c r="M35" t="s">
        <v>72</v>
      </c>
      <c r="N35" t="s">
        <v>106</v>
      </c>
      <c r="O35" t="s">
        <v>101</v>
      </c>
      <c r="P35" t="s">
        <v>102</v>
      </c>
      <c r="Q35" t="s">
        <v>103</v>
      </c>
      <c r="R35">
        <v>99999</v>
      </c>
      <c r="S35" t="s">
        <v>40</v>
      </c>
      <c r="T35" t="s">
        <v>45</v>
      </c>
      <c r="V35" t="s">
        <v>146</v>
      </c>
      <c r="Y35" s="6">
        <v>10</v>
      </c>
      <c r="Z35" s="5">
        <v>31</v>
      </c>
    </row>
    <row r="36" spans="1:26" hidden="1">
      <c r="A36">
        <v>1035</v>
      </c>
      <c r="B36" s="4">
        <v>41678</v>
      </c>
      <c r="C36">
        <v>8</v>
      </c>
      <c r="D36" t="s">
        <v>66</v>
      </c>
      <c r="E36" t="s">
        <v>67</v>
      </c>
      <c r="F36" t="s">
        <v>68</v>
      </c>
      <c r="G36" t="s">
        <v>69</v>
      </c>
      <c r="H36">
        <v>99999</v>
      </c>
      <c r="I36" t="s">
        <v>40</v>
      </c>
      <c r="J36" t="s">
        <v>70</v>
      </c>
      <c r="K36" t="s">
        <v>71</v>
      </c>
      <c r="L36" s="4">
        <v>41680</v>
      </c>
      <c r="M36" t="s">
        <v>72</v>
      </c>
      <c r="N36" t="s">
        <v>73</v>
      </c>
      <c r="O36" t="s">
        <v>67</v>
      </c>
      <c r="P36" t="s">
        <v>68</v>
      </c>
      <c r="Q36" t="s">
        <v>69</v>
      </c>
      <c r="R36">
        <v>99999</v>
      </c>
      <c r="S36" t="s">
        <v>40</v>
      </c>
      <c r="T36" t="s">
        <v>45</v>
      </c>
      <c r="V36" t="s">
        <v>146</v>
      </c>
      <c r="Y36" s="6">
        <v>10</v>
      </c>
      <c r="Z36" s="5">
        <v>46</v>
      </c>
    </row>
    <row r="37" spans="1:26" hidden="1">
      <c r="A37">
        <v>1036</v>
      </c>
      <c r="B37" s="4">
        <v>41680</v>
      </c>
      <c r="C37">
        <v>10</v>
      </c>
      <c r="D37" t="s">
        <v>107</v>
      </c>
      <c r="E37" t="s">
        <v>108</v>
      </c>
      <c r="F37" t="s">
        <v>109</v>
      </c>
      <c r="G37" t="s">
        <v>110</v>
      </c>
      <c r="H37">
        <v>99999</v>
      </c>
      <c r="I37" t="s">
        <v>40</v>
      </c>
      <c r="J37" t="s">
        <v>111</v>
      </c>
      <c r="K37" t="s">
        <v>55</v>
      </c>
      <c r="L37" s="4">
        <v>41682</v>
      </c>
      <c r="M37" t="s">
        <v>43</v>
      </c>
      <c r="N37" t="s">
        <v>112</v>
      </c>
      <c r="O37" t="s">
        <v>108</v>
      </c>
      <c r="P37" t="s">
        <v>109</v>
      </c>
      <c r="Q37" t="s">
        <v>110</v>
      </c>
      <c r="R37">
        <v>99999</v>
      </c>
      <c r="S37" t="s">
        <v>40</v>
      </c>
      <c r="T37" t="s">
        <v>58</v>
      </c>
      <c r="U37" t="s">
        <v>147</v>
      </c>
      <c r="V37" t="s">
        <v>49</v>
      </c>
      <c r="W37">
        <v>10</v>
      </c>
      <c r="X37">
        <v>47</v>
      </c>
      <c r="Y37" s="6">
        <v>470</v>
      </c>
      <c r="Z37" s="5">
        <v>48.88</v>
      </c>
    </row>
    <row r="38" spans="1:26" hidden="1">
      <c r="A38">
        <v>1038</v>
      </c>
      <c r="B38" s="4">
        <v>41680</v>
      </c>
      <c r="C38">
        <v>10</v>
      </c>
      <c r="D38" t="s">
        <v>107</v>
      </c>
      <c r="E38" t="s">
        <v>108</v>
      </c>
      <c r="F38" t="s">
        <v>109</v>
      </c>
      <c r="G38" t="s">
        <v>110</v>
      </c>
      <c r="H38">
        <v>99999</v>
      </c>
      <c r="I38" t="s">
        <v>40</v>
      </c>
      <c r="J38" t="s">
        <v>111</v>
      </c>
      <c r="K38" t="s">
        <v>55</v>
      </c>
      <c r="M38" t="s">
        <v>56</v>
      </c>
      <c r="N38" t="s">
        <v>112</v>
      </c>
      <c r="O38" t="s">
        <v>108</v>
      </c>
      <c r="P38" t="s">
        <v>109</v>
      </c>
      <c r="Q38" t="s">
        <v>110</v>
      </c>
      <c r="R38">
        <v>99999</v>
      </c>
      <c r="S38" t="s">
        <v>40</v>
      </c>
      <c r="U38" t="s">
        <v>48</v>
      </c>
      <c r="V38" t="s">
        <v>49</v>
      </c>
      <c r="W38">
        <v>3.5</v>
      </c>
      <c r="X38">
        <v>49</v>
      </c>
      <c r="Y38" s="6">
        <v>171.5</v>
      </c>
      <c r="Z38" s="5">
        <v>16.463999999999999</v>
      </c>
    </row>
    <row r="39" spans="1:26" hidden="1">
      <c r="A39">
        <v>1039</v>
      </c>
      <c r="B39" s="4">
        <v>41681</v>
      </c>
      <c r="C39">
        <v>11</v>
      </c>
      <c r="D39" t="s">
        <v>123</v>
      </c>
      <c r="E39" t="s">
        <v>124</v>
      </c>
      <c r="F39" t="s">
        <v>125</v>
      </c>
      <c r="G39" t="s">
        <v>126</v>
      </c>
      <c r="H39">
        <v>99999</v>
      </c>
      <c r="I39" t="s">
        <v>40</v>
      </c>
      <c r="J39" t="s">
        <v>104</v>
      </c>
      <c r="K39" t="s">
        <v>105</v>
      </c>
      <c r="M39" t="s">
        <v>72</v>
      </c>
      <c r="N39" t="s">
        <v>127</v>
      </c>
      <c r="O39" t="s">
        <v>124</v>
      </c>
      <c r="P39" t="s">
        <v>125</v>
      </c>
      <c r="Q39" t="s">
        <v>126</v>
      </c>
      <c r="R39">
        <v>99999</v>
      </c>
      <c r="S39" t="s">
        <v>40</v>
      </c>
      <c r="U39" t="s">
        <v>98</v>
      </c>
      <c r="V39" t="s">
        <v>99</v>
      </c>
      <c r="W39">
        <v>40</v>
      </c>
      <c r="X39">
        <v>72</v>
      </c>
      <c r="Y39" s="6">
        <v>2880</v>
      </c>
      <c r="Z39" s="5">
        <v>285.12</v>
      </c>
    </row>
    <row r="40" spans="1:26" hidden="1">
      <c r="A40">
        <v>1040</v>
      </c>
      <c r="B40" s="4">
        <v>41671</v>
      </c>
      <c r="C40">
        <v>1</v>
      </c>
      <c r="D40" t="s">
        <v>128</v>
      </c>
      <c r="E40" t="s">
        <v>129</v>
      </c>
      <c r="F40" t="s">
        <v>130</v>
      </c>
      <c r="G40" t="s">
        <v>131</v>
      </c>
      <c r="H40">
        <v>99999</v>
      </c>
      <c r="I40" t="s">
        <v>40</v>
      </c>
      <c r="J40" t="s">
        <v>70</v>
      </c>
      <c r="K40" t="s">
        <v>71</v>
      </c>
      <c r="M40" t="s">
        <v>72</v>
      </c>
      <c r="N40" t="s">
        <v>132</v>
      </c>
      <c r="O40" t="s">
        <v>129</v>
      </c>
      <c r="P40" t="s">
        <v>130</v>
      </c>
      <c r="Q40" t="s">
        <v>131</v>
      </c>
      <c r="R40">
        <v>99999</v>
      </c>
      <c r="S40" t="s">
        <v>40</v>
      </c>
      <c r="U40" t="s">
        <v>133</v>
      </c>
      <c r="V40" t="s">
        <v>134</v>
      </c>
      <c r="W40">
        <v>18.399999999999999</v>
      </c>
      <c r="X40">
        <v>13</v>
      </c>
      <c r="Y40" s="6">
        <v>239.2</v>
      </c>
      <c r="Z40" s="5">
        <v>23.680800000000001</v>
      </c>
    </row>
    <row r="41" spans="1:26" hidden="1">
      <c r="A41">
        <v>1041</v>
      </c>
      <c r="B41" s="4">
        <v>41698</v>
      </c>
      <c r="C41">
        <v>28</v>
      </c>
      <c r="D41" t="s">
        <v>100</v>
      </c>
      <c r="E41" t="s">
        <v>101</v>
      </c>
      <c r="F41" t="s">
        <v>102</v>
      </c>
      <c r="G41" t="s">
        <v>103</v>
      </c>
      <c r="H41">
        <v>99999</v>
      </c>
      <c r="I41" t="s">
        <v>40</v>
      </c>
      <c r="J41" t="s">
        <v>104</v>
      </c>
      <c r="K41" t="s">
        <v>105</v>
      </c>
      <c r="L41">
        <v>41700</v>
      </c>
      <c r="M41" t="s">
        <v>72</v>
      </c>
      <c r="N41" t="s">
        <v>106</v>
      </c>
      <c r="O41" t="s">
        <v>101</v>
      </c>
      <c r="P41" t="s">
        <v>102</v>
      </c>
      <c r="Q41" t="s">
        <v>103</v>
      </c>
      <c r="R41">
        <v>99999</v>
      </c>
      <c r="S41" t="s">
        <v>40</v>
      </c>
      <c r="T41" t="s">
        <v>58</v>
      </c>
      <c r="U41" t="s">
        <v>65</v>
      </c>
      <c r="V41" t="s">
        <v>47</v>
      </c>
      <c r="W41">
        <v>46</v>
      </c>
      <c r="X41">
        <v>32</v>
      </c>
      <c r="Y41" s="6">
        <v>1472</v>
      </c>
      <c r="Z41" s="5">
        <v>148.672</v>
      </c>
    </row>
    <row r="42" spans="1:26" hidden="1">
      <c r="A42">
        <v>1042</v>
      </c>
      <c r="B42" s="4">
        <v>41679</v>
      </c>
      <c r="C42">
        <v>9</v>
      </c>
      <c r="D42" t="s">
        <v>135</v>
      </c>
      <c r="E42" t="s">
        <v>136</v>
      </c>
      <c r="F42" t="s">
        <v>137</v>
      </c>
      <c r="G42" t="s">
        <v>138</v>
      </c>
      <c r="H42">
        <v>99999</v>
      </c>
      <c r="I42" t="s">
        <v>40</v>
      </c>
      <c r="J42" t="s">
        <v>139</v>
      </c>
      <c r="K42" t="s">
        <v>42</v>
      </c>
      <c r="L42" s="4">
        <v>41681</v>
      </c>
      <c r="M42" t="s">
        <v>56</v>
      </c>
      <c r="N42" t="s">
        <v>140</v>
      </c>
      <c r="O42" t="s">
        <v>136</v>
      </c>
      <c r="P42" t="s">
        <v>137</v>
      </c>
      <c r="Q42" t="s">
        <v>138</v>
      </c>
      <c r="R42">
        <v>99999</v>
      </c>
      <c r="S42" t="s">
        <v>40</v>
      </c>
      <c r="T42" t="s">
        <v>45</v>
      </c>
      <c r="U42" t="s">
        <v>90</v>
      </c>
      <c r="V42" t="s">
        <v>91</v>
      </c>
      <c r="W42">
        <v>9.65</v>
      </c>
      <c r="X42">
        <v>27</v>
      </c>
      <c r="Y42" s="6">
        <v>260.55</v>
      </c>
      <c r="Z42" s="5">
        <v>24.75225</v>
      </c>
    </row>
    <row r="43" spans="1:26" hidden="1">
      <c r="A43">
        <v>1043</v>
      </c>
      <c r="B43" s="4">
        <v>41676</v>
      </c>
      <c r="C43">
        <v>6</v>
      </c>
      <c r="D43" t="s">
        <v>92</v>
      </c>
      <c r="E43" t="s">
        <v>93</v>
      </c>
      <c r="F43" t="s">
        <v>94</v>
      </c>
      <c r="G43" t="s">
        <v>95</v>
      </c>
      <c r="H43">
        <v>99999</v>
      </c>
      <c r="I43" t="s">
        <v>40</v>
      </c>
      <c r="J43" t="s">
        <v>96</v>
      </c>
      <c r="K43" t="s">
        <v>71</v>
      </c>
      <c r="L43" s="4">
        <v>41678</v>
      </c>
      <c r="M43" t="s">
        <v>43</v>
      </c>
      <c r="N43" t="s">
        <v>97</v>
      </c>
      <c r="O43" t="s">
        <v>93</v>
      </c>
      <c r="P43" t="s">
        <v>94</v>
      </c>
      <c r="Q43" t="s">
        <v>95</v>
      </c>
      <c r="R43">
        <v>99999</v>
      </c>
      <c r="S43" t="s">
        <v>40</v>
      </c>
      <c r="T43" t="s">
        <v>58</v>
      </c>
      <c r="U43" t="s">
        <v>82</v>
      </c>
      <c r="V43" t="s">
        <v>83</v>
      </c>
      <c r="W43">
        <v>12.75</v>
      </c>
      <c r="X43">
        <v>71</v>
      </c>
      <c r="Y43" s="6">
        <v>905.25</v>
      </c>
      <c r="Z43" s="5">
        <v>91.430250000000001</v>
      </c>
    </row>
    <row r="44" spans="1:26" hidden="1">
      <c r="A44">
        <v>1044</v>
      </c>
      <c r="B44" s="4">
        <v>41678</v>
      </c>
      <c r="C44">
        <v>8</v>
      </c>
      <c r="D44" t="s">
        <v>66</v>
      </c>
      <c r="E44" t="s">
        <v>67</v>
      </c>
      <c r="F44" t="s">
        <v>68</v>
      </c>
      <c r="G44" t="s">
        <v>69</v>
      </c>
      <c r="H44">
        <v>99999</v>
      </c>
      <c r="I44" t="s">
        <v>40</v>
      </c>
      <c r="J44" t="s">
        <v>70</v>
      </c>
      <c r="K44" t="s">
        <v>71</v>
      </c>
      <c r="L44" s="4">
        <v>41680</v>
      </c>
      <c r="M44" t="s">
        <v>43</v>
      </c>
      <c r="N44" t="s">
        <v>73</v>
      </c>
      <c r="O44" t="s">
        <v>67</v>
      </c>
      <c r="P44" t="s">
        <v>68</v>
      </c>
      <c r="Q44" t="s">
        <v>69</v>
      </c>
      <c r="R44">
        <v>99999</v>
      </c>
      <c r="S44" t="s">
        <v>40</v>
      </c>
      <c r="T44" t="s">
        <v>45</v>
      </c>
      <c r="U44" t="s">
        <v>82</v>
      </c>
      <c r="V44" t="s">
        <v>83</v>
      </c>
      <c r="W44">
        <v>12.75</v>
      </c>
      <c r="X44">
        <v>13</v>
      </c>
      <c r="Y44" s="6">
        <v>165.75</v>
      </c>
      <c r="Z44" s="5">
        <v>15.74625</v>
      </c>
    </row>
    <row r="45" spans="1:26" hidden="1">
      <c r="A45">
        <v>1045</v>
      </c>
      <c r="B45" s="4">
        <v>41695</v>
      </c>
      <c r="C45">
        <v>25</v>
      </c>
      <c r="D45" t="s">
        <v>148</v>
      </c>
      <c r="E45" t="s">
        <v>149</v>
      </c>
      <c r="F45" t="s">
        <v>109</v>
      </c>
      <c r="G45" t="s">
        <v>110</v>
      </c>
      <c r="H45">
        <v>99999</v>
      </c>
      <c r="I45" t="s">
        <v>40</v>
      </c>
      <c r="J45" t="s">
        <v>111</v>
      </c>
      <c r="K45" t="s">
        <v>55</v>
      </c>
      <c r="L45" s="4">
        <v>41697</v>
      </c>
      <c r="M45" t="s">
        <v>56</v>
      </c>
      <c r="N45" t="s">
        <v>150</v>
      </c>
      <c r="O45" t="s">
        <v>149</v>
      </c>
      <c r="P45" t="s">
        <v>109</v>
      </c>
      <c r="Q45" t="s">
        <v>110</v>
      </c>
      <c r="R45">
        <v>99999</v>
      </c>
      <c r="S45" t="s">
        <v>40</v>
      </c>
      <c r="T45" t="s">
        <v>89</v>
      </c>
      <c r="U45" t="s">
        <v>121</v>
      </c>
      <c r="V45" t="s">
        <v>122</v>
      </c>
      <c r="W45">
        <v>22</v>
      </c>
      <c r="X45">
        <v>98</v>
      </c>
      <c r="Y45" s="6">
        <v>2156</v>
      </c>
      <c r="Z45" s="5">
        <v>204.82</v>
      </c>
    </row>
    <row r="46" spans="1:26" hidden="1">
      <c r="A46">
        <v>1046</v>
      </c>
      <c r="B46" s="4">
        <v>41696</v>
      </c>
      <c r="C46">
        <v>26</v>
      </c>
      <c r="D46" t="s">
        <v>151</v>
      </c>
      <c r="E46" t="s">
        <v>152</v>
      </c>
      <c r="F46" t="s">
        <v>125</v>
      </c>
      <c r="G46" t="s">
        <v>126</v>
      </c>
      <c r="H46">
        <v>99999</v>
      </c>
      <c r="I46" t="s">
        <v>40</v>
      </c>
      <c r="J46" t="s">
        <v>104</v>
      </c>
      <c r="K46" t="s">
        <v>105</v>
      </c>
      <c r="L46" s="4">
        <v>41698</v>
      </c>
      <c r="M46" t="s">
        <v>72</v>
      </c>
      <c r="N46" t="s">
        <v>153</v>
      </c>
      <c r="O46" t="s">
        <v>152</v>
      </c>
      <c r="P46" t="s">
        <v>125</v>
      </c>
      <c r="Q46" t="s">
        <v>126</v>
      </c>
      <c r="R46">
        <v>99999</v>
      </c>
      <c r="S46" t="s">
        <v>40</v>
      </c>
      <c r="T46" t="s">
        <v>58</v>
      </c>
      <c r="U46" t="s">
        <v>119</v>
      </c>
      <c r="V46" t="s">
        <v>120</v>
      </c>
      <c r="W46">
        <v>25</v>
      </c>
      <c r="X46">
        <v>21</v>
      </c>
      <c r="Y46" s="6">
        <v>525</v>
      </c>
      <c r="Z46" s="5">
        <v>53.55</v>
      </c>
    </row>
    <row r="47" spans="1:26" hidden="1">
      <c r="A47">
        <v>1047</v>
      </c>
      <c r="B47" s="4">
        <v>41699</v>
      </c>
      <c r="C47">
        <v>29</v>
      </c>
      <c r="D47" t="s">
        <v>76</v>
      </c>
      <c r="E47" t="s">
        <v>77</v>
      </c>
      <c r="F47" t="s">
        <v>78</v>
      </c>
      <c r="G47" t="s">
        <v>79</v>
      </c>
      <c r="H47">
        <v>99999</v>
      </c>
      <c r="I47" t="s">
        <v>40</v>
      </c>
      <c r="J47" t="s">
        <v>80</v>
      </c>
      <c r="K47" t="s">
        <v>42</v>
      </c>
      <c r="L47" s="4">
        <v>41701</v>
      </c>
      <c r="M47" t="s">
        <v>43</v>
      </c>
      <c r="N47" t="s">
        <v>81</v>
      </c>
      <c r="O47" t="s">
        <v>77</v>
      </c>
      <c r="P47" t="s">
        <v>78</v>
      </c>
      <c r="Q47" t="s">
        <v>79</v>
      </c>
      <c r="R47">
        <v>99999</v>
      </c>
      <c r="S47" t="s">
        <v>40</v>
      </c>
      <c r="T47" t="s">
        <v>45</v>
      </c>
      <c r="U47" t="s">
        <v>154</v>
      </c>
      <c r="V47" t="s">
        <v>155</v>
      </c>
      <c r="W47">
        <v>39</v>
      </c>
      <c r="X47">
        <v>26</v>
      </c>
      <c r="Y47" s="6">
        <v>1014</v>
      </c>
      <c r="Z47" s="5">
        <v>106.47</v>
      </c>
    </row>
    <row r="48" spans="1:26" hidden="1">
      <c r="A48">
        <v>1048</v>
      </c>
      <c r="B48" s="4">
        <v>41676</v>
      </c>
      <c r="C48">
        <v>6</v>
      </c>
      <c r="D48" t="s">
        <v>92</v>
      </c>
      <c r="E48" t="s">
        <v>93</v>
      </c>
      <c r="F48" t="s">
        <v>94</v>
      </c>
      <c r="G48" t="s">
        <v>95</v>
      </c>
      <c r="H48">
        <v>99999</v>
      </c>
      <c r="I48" t="s">
        <v>40</v>
      </c>
      <c r="J48" t="s">
        <v>96</v>
      </c>
      <c r="K48" t="s">
        <v>71</v>
      </c>
      <c r="L48" s="4">
        <v>41678</v>
      </c>
      <c r="M48" t="s">
        <v>72</v>
      </c>
      <c r="N48" t="s">
        <v>97</v>
      </c>
      <c r="O48" t="s">
        <v>93</v>
      </c>
      <c r="P48" t="s">
        <v>94</v>
      </c>
      <c r="Q48" t="s">
        <v>95</v>
      </c>
      <c r="R48">
        <v>99999</v>
      </c>
      <c r="S48" t="s">
        <v>40</v>
      </c>
      <c r="T48" t="s">
        <v>45</v>
      </c>
      <c r="U48" t="s">
        <v>59</v>
      </c>
      <c r="V48" t="s">
        <v>49</v>
      </c>
      <c r="W48">
        <v>30</v>
      </c>
      <c r="X48">
        <v>96</v>
      </c>
      <c r="Y48" s="6">
        <v>2880</v>
      </c>
      <c r="Z48" s="5">
        <v>296.64</v>
      </c>
    </row>
    <row r="49" spans="1:26" hidden="1">
      <c r="A49">
        <v>1049</v>
      </c>
      <c r="B49" s="4">
        <v>41676</v>
      </c>
      <c r="C49">
        <v>6</v>
      </c>
      <c r="D49" t="s">
        <v>92</v>
      </c>
      <c r="E49" t="s">
        <v>93</v>
      </c>
      <c r="F49" t="s">
        <v>94</v>
      </c>
      <c r="G49" t="s">
        <v>95</v>
      </c>
      <c r="H49">
        <v>99999</v>
      </c>
      <c r="I49" t="s">
        <v>40</v>
      </c>
      <c r="J49" t="s">
        <v>96</v>
      </c>
      <c r="K49" t="s">
        <v>71</v>
      </c>
      <c r="L49" s="4">
        <v>41678</v>
      </c>
      <c r="M49" t="s">
        <v>72</v>
      </c>
      <c r="N49" t="s">
        <v>97</v>
      </c>
      <c r="O49" t="s">
        <v>93</v>
      </c>
      <c r="P49" t="s">
        <v>94</v>
      </c>
      <c r="Q49" t="s">
        <v>95</v>
      </c>
      <c r="R49">
        <v>99999</v>
      </c>
      <c r="S49" t="s">
        <v>40</v>
      </c>
      <c r="T49" t="s">
        <v>45</v>
      </c>
      <c r="U49" t="s">
        <v>60</v>
      </c>
      <c r="V49" t="s">
        <v>49</v>
      </c>
      <c r="W49">
        <v>53</v>
      </c>
      <c r="X49">
        <v>16</v>
      </c>
      <c r="Y49" s="6">
        <v>848</v>
      </c>
      <c r="Z49" s="5">
        <v>88.191999999999993</v>
      </c>
    </row>
    <row r="50" spans="1:26" hidden="1">
      <c r="A50">
        <v>1050</v>
      </c>
      <c r="B50" s="4">
        <v>41674</v>
      </c>
      <c r="C50">
        <v>4</v>
      </c>
      <c r="D50" t="s">
        <v>50</v>
      </c>
      <c r="E50" t="s">
        <v>51</v>
      </c>
      <c r="F50" t="s">
        <v>52</v>
      </c>
      <c r="G50" t="s">
        <v>53</v>
      </c>
      <c r="H50">
        <v>99999</v>
      </c>
      <c r="I50" t="s">
        <v>40</v>
      </c>
      <c r="J50" t="s">
        <v>54</v>
      </c>
      <c r="K50" t="s">
        <v>55</v>
      </c>
      <c r="L50" s="4"/>
      <c r="N50" t="s">
        <v>57</v>
      </c>
      <c r="O50" t="s">
        <v>51</v>
      </c>
      <c r="P50" t="s">
        <v>52</v>
      </c>
      <c r="Q50" t="s">
        <v>53</v>
      </c>
      <c r="R50">
        <v>99999</v>
      </c>
      <c r="S50" t="s">
        <v>40</v>
      </c>
      <c r="U50" t="s">
        <v>156</v>
      </c>
      <c r="V50" t="s">
        <v>142</v>
      </c>
      <c r="W50">
        <v>38</v>
      </c>
      <c r="X50">
        <v>96</v>
      </c>
      <c r="Y50" s="6">
        <v>3648</v>
      </c>
      <c r="Z50" s="5">
        <v>346.56</v>
      </c>
    </row>
    <row r="51" spans="1:26" hidden="1">
      <c r="A51">
        <v>1051</v>
      </c>
      <c r="B51" s="4">
        <v>41673</v>
      </c>
      <c r="C51">
        <v>3</v>
      </c>
      <c r="D51" t="s">
        <v>84</v>
      </c>
      <c r="E51" t="s">
        <v>85</v>
      </c>
      <c r="F51" t="s">
        <v>86</v>
      </c>
      <c r="G51" t="s">
        <v>87</v>
      </c>
      <c r="H51">
        <v>99999</v>
      </c>
      <c r="I51" t="s">
        <v>40</v>
      </c>
      <c r="J51" t="s">
        <v>41</v>
      </c>
      <c r="K51" t="s">
        <v>42</v>
      </c>
      <c r="N51" t="s">
        <v>88</v>
      </c>
      <c r="O51" t="s">
        <v>85</v>
      </c>
      <c r="P51" t="s">
        <v>86</v>
      </c>
      <c r="Q51" t="s">
        <v>87</v>
      </c>
      <c r="R51">
        <v>99999</v>
      </c>
      <c r="S51" t="s">
        <v>40</v>
      </c>
      <c r="U51" t="s">
        <v>113</v>
      </c>
      <c r="V51" t="s">
        <v>47</v>
      </c>
      <c r="W51">
        <v>2.99</v>
      </c>
      <c r="X51">
        <v>75</v>
      </c>
      <c r="Y51" s="6">
        <v>224.25</v>
      </c>
      <c r="Z51" s="5">
        <v>23.097750000000001</v>
      </c>
    </row>
    <row r="52" spans="1:26" hidden="1">
      <c r="A52">
        <v>1052</v>
      </c>
      <c r="B52" s="4">
        <v>41707</v>
      </c>
      <c r="C52">
        <v>9</v>
      </c>
      <c r="D52" t="s">
        <v>135</v>
      </c>
      <c r="E52" t="s">
        <v>136</v>
      </c>
      <c r="F52" t="s">
        <v>137</v>
      </c>
      <c r="G52" t="s">
        <v>138</v>
      </c>
      <c r="H52">
        <v>99999</v>
      </c>
      <c r="I52" t="s">
        <v>40</v>
      </c>
      <c r="J52" t="s">
        <v>139</v>
      </c>
      <c r="K52" t="s">
        <v>42</v>
      </c>
      <c r="L52">
        <v>41709</v>
      </c>
      <c r="M52" t="s">
        <v>56</v>
      </c>
      <c r="N52" t="s">
        <v>140</v>
      </c>
      <c r="O52" t="s">
        <v>136</v>
      </c>
      <c r="P52" t="s">
        <v>137</v>
      </c>
      <c r="Q52" t="s">
        <v>138</v>
      </c>
      <c r="R52">
        <v>99999</v>
      </c>
      <c r="S52" t="s">
        <v>40</v>
      </c>
      <c r="T52" t="s">
        <v>45</v>
      </c>
      <c r="U52" t="s">
        <v>141</v>
      </c>
      <c r="V52" t="s">
        <v>142</v>
      </c>
      <c r="W52">
        <v>19.5</v>
      </c>
      <c r="X52">
        <v>55</v>
      </c>
      <c r="Y52" s="6">
        <v>1072.5</v>
      </c>
      <c r="Z52" s="5">
        <v>108.32250000000001</v>
      </c>
    </row>
    <row r="53" spans="1:26" hidden="1">
      <c r="A53">
        <v>1053</v>
      </c>
      <c r="B53" s="4">
        <v>41707</v>
      </c>
      <c r="C53">
        <v>9</v>
      </c>
      <c r="D53" t="s">
        <v>135</v>
      </c>
      <c r="E53" t="s">
        <v>136</v>
      </c>
      <c r="F53" t="s">
        <v>137</v>
      </c>
      <c r="G53" t="s">
        <v>138</v>
      </c>
      <c r="H53">
        <v>99999</v>
      </c>
      <c r="I53" t="s">
        <v>40</v>
      </c>
      <c r="J53" t="s">
        <v>139</v>
      </c>
      <c r="K53" t="s">
        <v>42</v>
      </c>
      <c r="L53" s="4">
        <v>41709</v>
      </c>
      <c r="M53" t="s">
        <v>56</v>
      </c>
      <c r="N53" t="s">
        <v>140</v>
      </c>
      <c r="O53" t="s">
        <v>136</v>
      </c>
      <c r="P53" t="s">
        <v>137</v>
      </c>
      <c r="Q53" t="s">
        <v>138</v>
      </c>
      <c r="R53">
        <v>99999</v>
      </c>
      <c r="S53" t="s">
        <v>40</v>
      </c>
      <c r="T53" t="s">
        <v>45</v>
      </c>
      <c r="U53" t="s">
        <v>143</v>
      </c>
      <c r="V53" t="s">
        <v>144</v>
      </c>
      <c r="W53" s="5">
        <v>34.799999999999997</v>
      </c>
      <c r="X53">
        <v>11</v>
      </c>
      <c r="Y53" s="6">
        <v>382.8</v>
      </c>
      <c r="Z53" s="5">
        <v>36.748800000000003</v>
      </c>
    </row>
    <row r="54" spans="1:26" hidden="1">
      <c r="A54">
        <v>1054</v>
      </c>
      <c r="B54" s="4">
        <v>41704</v>
      </c>
      <c r="C54">
        <v>6</v>
      </c>
      <c r="D54" t="s">
        <v>92</v>
      </c>
      <c r="E54" t="s">
        <v>93</v>
      </c>
      <c r="F54" t="s">
        <v>94</v>
      </c>
      <c r="G54" t="s">
        <v>95</v>
      </c>
      <c r="H54">
        <v>99999</v>
      </c>
      <c r="I54" t="s">
        <v>40</v>
      </c>
      <c r="J54" t="s">
        <v>96</v>
      </c>
      <c r="K54" t="s">
        <v>71</v>
      </c>
      <c r="L54" s="4">
        <v>41706</v>
      </c>
      <c r="M54" t="s">
        <v>43</v>
      </c>
      <c r="N54" t="s">
        <v>97</v>
      </c>
      <c r="O54" t="s">
        <v>93</v>
      </c>
      <c r="P54" t="s">
        <v>94</v>
      </c>
      <c r="Q54" t="s">
        <v>95</v>
      </c>
      <c r="R54">
        <v>99999</v>
      </c>
      <c r="S54" t="s">
        <v>40</v>
      </c>
      <c r="T54" t="s">
        <v>58</v>
      </c>
      <c r="U54" t="s">
        <v>46</v>
      </c>
      <c r="V54" t="s">
        <v>47</v>
      </c>
      <c r="W54" s="5">
        <v>14</v>
      </c>
      <c r="X54">
        <v>53</v>
      </c>
      <c r="Y54" s="6">
        <v>742</v>
      </c>
      <c r="Z54" s="5">
        <v>71.974000000000004</v>
      </c>
    </row>
    <row r="55" spans="1:26" hidden="1">
      <c r="A55">
        <v>1055</v>
      </c>
      <c r="B55" s="4">
        <v>41706</v>
      </c>
      <c r="C55">
        <v>8</v>
      </c>
      <c r="D55" t="s">
        <v>66</v>
      </c>
      <c r="E55" t="s">
        <v>67</v>
      </c>
      <c r="F55" t="s">
        <v>68</v>
      </c>
      <c r="G55" t="s">
        <v>69</v>
      </c>
      <c r="H55">
        <v>99999</v>
      </c>
      <c r="I55" t="s">
        <v>40</v>
      </c>
      <c r="J55" t="s">
        <v>70</v>
      </c>
      <c r="K55" t="s">
        <v>71</v>
      </c>
      <c r="L55" s="4">
        <v>41708</v>
      </c>
      <c r="M55" t="s">
        <v>43</v>
      </c>
      <c r="N55" t="s">
        <v>73</v>
      </c>
      <c r="O55" t="s">
        <v>67</v>
      </c>
      <c r="P55" t="s">
        <v>68</v>
      </c>
      <c r="Q55" t="s">
        <v>69</v>
      </c>
      <c r="R55">
        <v>99999</v>
      </c>
      <c r="S55" t="s">
        <v>40</v>
      </c>
      <c r="T55" t="s">
        <v>45</v>
      </c>
      <c r="U55" t="s">
        <v>98</v>
      </c>
      <c r="V55" t="s">
        <v>99</v>
      </c>
      <c r="W55" s="5">
        <v>40</v>
      </c>
      <c r="X55">
        <v>85</v>
      </c>
      <c r="Y55" s="6">
        <v>3400</v>
      </c>
      <c r="Z55" s="5">
        <v>357</v>
      </c>
    </row>
    <row r="56" spans="1:26">
      <c r="A56">
        <v>1056</v>
      </c>
      <c r="B56" s="4">
        <v>41706</v>
      </c>
      <c r="C56">
        <v>8</v>
      </c>
      <c r="D56" t="s">
        <v>66</v>
      </c>
      <c r="E56" t="s">
        <v>67</v>
      </c>
      <c r="F56" t="s">
        <v>68</v>
      </c>
      <c r="G56" t="s">
        <v>69</v>
      </c>
      <c r="H56">
        <v>99999</v>
      </c>
      <c r="I56" t="s">
        <v>40</v>
      </c>
      <c r="J56" t="s">
        <v>70</v>
      </c>
      <c r="K56" t="s">
        <v>71</v>
      </c>
      <c r="L56" s="4">
        <v>41708</v>
      </c>
      <c r="M56" t="s">
        <v>43</v>
      </c>
      <c r="N56" t="s">
        <v>73</v>
      </c>
      <c r="O56" t="s">
        <v>67</v>
      </c>
      <c r="P56" t="s">
        <v>68</v>
      </c>
      <c r="Q56" t="s">
        <v>69</v>
      </c>
      <c r="R56">
        <v>99999</v>
      </c>
      <c r="S56" t="s">
        <v>40</v>
      </c>
      <c r="T56" t="s">
        <v>45</v>
      </c>
      <c r="U56" t="s">
        <v>74</v>
      </c>
      <c r="V56" t="s">
        <v>75</v>
      </c>
      <c r="W56" s="5">
        <v>9.1999999999999993</v>
      </c>
      <c r="X56">
        <v>97</v>
      </c>
      <c r="Y56" s="6">
        <v>892.4</v>
      </c>
      <c r="Z56" s="5">
        <v>91.024799999999999</v>
      </c>
    </row>
    <row r="57" spans="1:26">
      <c r="A57">
        <v>1057</v>
      </c>
      <c r="B57" s="4">
        <v>41723</v>
      </c>
      <c r="C57">
        <v>25</v>
      </c>
      <c r="D57" t="s">
        <v>148</v>
      </c>
      <c r="E57" t="s">
        <v>149</v>
      </c>
      <c r="F57" t="s">
        <v>109</v>
      </c>
      <c r="G57" t="s">
        <v>110</v>
      </c>
      <c r="H57">
        <v>99999</v>
      </c>
      <c r="I57" t="s">
        <v>40</v>
      </c>
      <c r="J57" t="s">
        <v>111</v>
      </c>
      <c r="K57" t="s">
        <v>55</v>
      </c>
      <c r="L57" s="4">
        <v>41725</v>
      </c>
      <c r="M57" t="s">
        <v>56</v>
      </c>
      <c r="N57" t="s">
        <v>150</v>
      </c>
      <c r="O57" t="s">
        <v>149</v>
      </c>
      <c r="P57" t="s">
        <v>109</v>
      </c>
      <c r="Q57" t="s">
        <v>110</v>
      </c>
      <c r="R57">
        <v>99999</v>
      </c>
      <c r="S57" t="s">
        <v>40</v>
      </c>
      <c r="T57" t="s">
        <v>89</v>
      </c>
      <c r="U57" t="s">
        <v>157</v>
      </c>
      <c r="V57" t="s">
        <v>75</v>
      </c>
      <c r="W57" s="5">
        <v>10</v>
      </c>
      <c r="X57">
        <v>46</v>
      </c>
      <c r="Y57" s="6">
        <v>460</v>
      </c>
      <c r="Z57" s="5">
        <v>46.46</v>
      </c>
    </row>
    <row r="58" spans="1:26" hidden="1">
      <c r="A58">
        <v>1058</v>
      </c>
      <c r="B58" s="4">
        <v>41724</v>
      </c>
      <c r="C58">
        <v>26</v>
      </c>
      <c r="D58" t="s">
        <v>151</v>
      </c>
      <c r="E58" t="s">
        <v>152</v>
      </c>
      <c r="F58" t="s">
        <v>125</v>
      </c>
      <c r="G58" t="s">
        <v>126</v>
      </c>
      <c r="H58">
        <v>99999</v>
      </c>
      <c r="I58" t="s">
        <v>40</v>
      </c>
      <c r="J58" t="s">
        <v>104</v>
      </c>
      <c r="K58" t="s">
        <v>105</v>
      </c>
      <c r="L58" s="4">
        <v>41726</v>
      </c>
      <c r="M58" t="s">
        <v>72</v>
      </c>
      <c r="N58" t="s">
        <v>153</v>
      </c>
      <c r="O58" t="s">
        <v>152</v>
      </c>
      <c r="P58" t="s">
        <v>125</v>
      </c>
      <c r="Q58" t="s">
        <v>126</v>
      </c>
      <c r="R58">
        <v>99999</v>
      </c>
      <c r="S58" t="s">
        <v>40</v>
      </c>
      <c r="T58" t="s">
        <v>58</v>
      </c>
      <c r="U58" t="s">
        <v>158</v>
      </c>
      <c r="V58" t="s">
        <v>159</v>
      </c>
      <c r="W58" s="5">
        <v>21.35</v>
      </c>
      <c r="X58">
        <v>97</v>
      </c>
      <c r="Y58" s="6">
        <v>2070.9499999999998</v>
      </c>
      <c r="Z58" s="5">
        <v>196.74025</v>
      </c>
    </row>
    <row r="59" spans="1:26" hidden="1">
      <c r="A59">
        <v>1059</v>
      </c>
      <c r="B59" s="4">
        <v>41724</v>
      </c>
      <c r="C59">
        <v>26</v>
      </c>
      <c r="D59" t="s">
        <v>151</v>
      </c>
      <c r="E59" t="s">
        <v>152</v>
      </c>
      <c r="F59" t="s">
        <v>125</v>
      </c>
      <c r="G59" t="s">
        <v>126</v>
      </c>
      <c r="H59">
        <v>99999</v>
      </c>
      <c r="I59" t="s">
        <v>40</v>
      </c>
      <c r="J59" t="s">
        <v>104</v>
      </c>
      <c r="K59" t="s">
        <v>105</v>
      </c>
      <c r="L59" s="4">
        <v>41726</v>
      </c>
      <c r="M59" t="s">
        <v>72</v>
      </c>
      <c r="N59" t="s">
        <v>153</v>
      </c>
      <c r="O59" t="s">
        <v>152</v>
      </c>
      <c r="P59" t="s">
        <v>125</v>
      </c>
      <c r="Q59" t="s">
        <v>126</v>
      </c>
      <c r="R59">
        <v>99999</v>
      </c>
      <c r="S59" t="s">
        <v>40</v>
      </c>
      <c r="T59" t="s">
        <v>58</v>
      </c>
      <c r="U59" t="s">
        <v>90</v>
      </c>
      <c r="V59" t="s">
        <v>91</v>
      </c>
      <c r="W59" s="5">
        <v>9.65</v>
      </c>
      <c r="X59">
        <v>97</v>
      </c>
      <c r="Y59" s="6">
        <v>936.05</v>
      </c>
      <c r="Z59" s="5">
        <v>95.477099999999993</v>
      </c>
    </row>
    <row r="60" spans="1:26" hidden="1">
      <c r="A60">
        <v>1060</v>
      </c>
      <c r="B60" s="4">
        <v>41724</v>
      </c>
      <c r="C60">
        <v>26</v>
      </c>
      <c r="D60" t="s">
        <v>151</v>
      </c>
      <c r="E60" t="s">
        <v>152</v>
      </c>
      <c r="F60" t="s">
        <v>125</v>
      </c>
      <c r="G60" t="s">
        <v>126</v>
      </c>
      <c r="H60">
        <v>99999</v>
      </c>
      <c r="I60" t="s">
        <v>40</v>
      </c>
      <c r="J60" t="s">
        <v>104</v>
      </c>
      <c r="K60" t="s">
        <v>105</v>
      </c>
      <c r="L60" s="4">
        <v>41726</v>
      </c>
      <c r="M60" t="s">
        <v>72</v>
      </c>
      <c r="N60" t="s">
        <v>153</v>
      </c>
      <c r="O60" t="s">
        <v>152</v>
      </c>
      <c r="P60" t="s">
        <v>125</v>
      </c>
      <c r="Q60" t="s">
        <v>126</v>
      </c>
      <c r="R60">
        <v>99999</v>
      </c>
      <c r="S60" t="s">
        <v>40</v>
      </c>
      <c r="T60" t="s">
        <v>58</v>
      </c>
      <c r="U60" t="s">
        <v>133</v>
      </c>
      <c r="V60" t="s">
        <v>134</v>
      </c>
      <c r="W60" s="5">
        <v>18.399999999999999</v>
      </c>
      <c r="X60">
        <v>65</v>
      </c>
      <c r="Y60" s="6">
        <v>1196</v>
      </c>
      <c r="Z60" s="5">
        <v>123.188</v>
      </c>
    </row>
    <row r="61" spans="1:26" hidden="1">
      <c r="A61">
        <v>1061</v>
      </c>
      <c r="B61" s="4">
        <v>41727</v>
      </c>
      <c r="C61">
        <v>29</v>
      </c>
      <c r="D61" t="s">
        <v>76</v>
      </c>
      <c r="E61" t="s">
        <v>77</v>
      </c>
      <c r="F61" t="s">
        <v>78</v>
      </c>
      <c r="G61" t="s">
        <v>79</v>
      </c>
      <c r="H61">
        <v>99999</v>
      </c>
      <c r="I61" t="s">
        <v>40</v>
      </c>
      <c r="J61" t="s">
        <v>80</v>
      </c>
      <c r="K61" t="s">
        <v>42</v>
      </c>
      <c r="L61" s="4">
        <v>41729</v>
      </c>
      <c r="M61" t="s">
        <v>43</v>
      </c>
      <c r="N61" t="s">
        <v>81</v>
      </c>
      <c r="O61" t="s">
        <v>77</v>
      </c>
      <c r="P61" t="s">
        <v>78</v>
      </c>
      <c r="Q61" t="s">
        <v>79</v>
      </c>
      <c r="R61">
        <v>99999</v>
      </c>
      <c r="S61" t="s">
        <v>40</v>
      </c>
      <c r="T61" t="s">
        <v>45</v>
      </c>
      <c r="U61" t="s">
        <v>46</v>
      </c>
      <c r="V61" t="s">
        <v>47</v>
      </c>
      <c r="W61" s="5">
        <v>14</v>
      </c>
      <c r="X61">
        <v>72</v>
      </c>
      <c r="Y61" s="6">
        <v>1008</v>
      </c>
      <c r="Z61" s="5">
        <v>100.8</v>
      </c>
    </row>
    <row r="62" spans="1:26" hidden="1">
      <c r="A62">
        <v>1062</v>
      </c>
      <c r="B62" s="4">
        <v>41704</v>
      </c>
      <c r="C62">
        <v>6</v>
      </c>
      <c r="D62" t="s">
        <v>92</v>
      </c>
      <c r="E62" t="s">
        <v>93</v>
      </c>
      <c r="F62" t="s">
        <v>94</v>
      </c>
      <c r="G62" t="s">
        <v>95</v>
      </c>
      <c r="H62">
        <v>99999</v>
      </c>
      <c r="I62" t="s">
        <v>40</v>
      </c>
      <c r="J62" t="s">
        <v>96</v>
      </c>
      <c r="K62" t="s">
        <v>71</v>
      </c>
      <c r="L62" s="4">
        <v>41706</v>
      </c>
      <c r="M62" t="s">
        <v>72</v>
      </c>
      <c r="N62" t="s">
        <v>97</v>
      </c>
      <c r="O62" t="s">
        <v>93</v>
      </c>
      <c r="P62" t="s">
        <v>94</v>
      </c>
      <c r="Q62" t="s">
        <v>95</v>
      </c>
      <c r="R62">
        <v>99999</v>
      </c>
      <c r="S62" t="s">
        <v>40</v>
      </c>
      <c r="T62" t="s">
        <v>45</v>
      </c>
      <c r="U62" t="s">
        <v>82</v>
      </c>
      <c r="V62" t="s">
        <v>83</v>
      </c>
      <c r="W62" s="5">
        <v>12.75</v>
      </c>
      <c r="X62">
        <v>16</v>
      </c>
      <c r="Y62" s="6">
        <v>204</v>
      </c>
      <c r="Z62" s="5">
        <v>20.196000000000002</v>
      </c>
    </row>
    <row r="63" spans="1:26" hidden="1">
      <c r="A63">
        <v>1064</v>
      </c>
      <c r="B63" s="4">
        <v>41702</v>
      </c>
      <c r="C63">
        <v>4</v>
      </c>
      <c r="D63" t="s">
        <v>50</v>
      </c>
      <c r="E63" t="s">
        <v>51</v>
      </c>
      <c r="F63" t="s">
        <v>52</v>
      </c>
      <c r="G63" t="s">
        <v>53</v>
      </c>
      <c r="H63">
        <v>99999</v>
      </c>
      <c r="I63" t="s">
        <v>40</v>
      </c>
      <c r="J63" t="s">
        <v>54</v>
      </c>
      <c r="K63" t="s">
        <v>55</v>
      </c>
      <c r="L63" s="4">
        <v>41704</v>
      </c>
      <c r="M63" t="s">
        <v>56</v>
      </c>
      <c r="N63" t="s">
        <v>57</v>
      </c>
      <c r="O63" t="s">
        <v>51</v>
      </c>
      <c r="P63" t="s">
        <v>52</v>
      </c>
      <c r="Q63" t="s">
        <v>53</v>
      </c>
      <c r="R63">
        <v>99999</v>
      </c>
      <c r="S63" t="s">
        <v>40</v>
      </c>
      <c r="T63" t="s">
        <v>58</v>
      </c>
      <c r="U63" t="s">
        <v>160</v>
      </c>
      <c r="V63" t="s">
        <v>120</v>
      </c>
      <c r="W63" s="5">
        <v>81</v>
      </c>
      <c r="X63">
        <v>77</v>
      </c>
      <c r="Y63" s="6">
        <v>6237</v>
      </c>
      <c r="Z63" s="5">
        <v>642.41099999999994</v>
      </c>
    </row>
    <row r="64" spans="1:26" hidden="1">
      <c r="A64">
        <v>1065</v>
      </c>
      <c r="B64" s="4">
        <v>41702</v>
      </c>
      <c r="C64">
        <v>4</v>
      </c>
      <c r="D64" t="s">
        <v>50</v>
      </c>
      <c r="E64" t="s">
        <v>51</v>
      </c>
      <c r="F64" t="s">
        <v>52</v>
      </c>
      <c r="G64" t="s">
        <v>53</v>
      </c>
      <c r="H64">
        <v>99999</v>
      </c>
      <c r="I64" t="s">
        <v>40</v>
      </c>
      <c r="J64" t="s">
        <v>54</v>
      </c>
      <c r="K64" t="s">
        <v>55</v>
      </c>
      <c r="L64" s="4">
        <v>41704</v>
      </c>
      <c r="M64" t="s">
        <v>56</v>
      </c>
      <c r="N64" t="s">
        <v>57</v>
      </c>
      <c r="O64" t="s">
        <v>51</v>
      </c>
      <c r="P64" t="s">
        <v>52</v>
      </c>
      <c r="Q64" t="s">
        <v>53</v>
      </c>
      <c r="R64">
        <v>99999</v>
      </c>
      <c r="S64" t="s">
        <v>40</v>
      </c>
      <c r="T64" t="s">
        <v>58</v>
      </c>
      <c r="U64" t="s">
        <v>161</v>
      </c>
      <c r="V64" t="s">
        <v>162</v>
      </c>
      <c r="W64">
        <v>7</v>
      </c>
      <c r="X64">
        <v>37</v>
      </c>
      <c r="Y64" s="6">
        <v>259</v>
      </c>
      <c r="Z64" s="5">
        <v>24.605</v>
      </c>
    </row>
    <row r="65" spans="1:26" hidden="1">
      <c r="A65">
        <v>1067</v>
      </c>
      <c r="B65" s="4">
        <v>41706</v>
      </c>
      <c r="C65">
        <v>8</v>
      </c>
      <c r="D65" t="s">
        <v>66</v>
      </c>
      <c r="E65" t="s">
        <v>67</v>
      </c>
      <c r="F65" t="s">
        <v>68</v>
      </c>
      <c r="G65" t="s">
        <v>69</v>
      </c>
      <c r="H65">
        <v>99999</v>
      </c>
      <c r="I65" t="s">
        <v>40</v>
      </c>
      <c r="J65" t="s">
        <v>70</v>
      </c>
      <c r="K65" t="s">
        <v>71</v>
      </c>
      <c r="L65" s="4">
        <v>41708</v>
      </c>
      <c r="M65" t="s">
        <v>72</v>
      </c>
      <c r="N65" t="s">
        <v>73</v>
      </c>
      <c r="O65" t="s">
        <v>67</v>
      </c>
      <c r="P65" t="s">
        <v>68</v>
      </c>
      <c r="Q65" t="s">
        <v>69</v>
      </c>
      <c r="R65">
        <v>99999</v>
      </c>
      <c r="S65" t="s">
        <v>40</v>
      </c>
      <c r="T65" t="s">
        <v>58</v>
      </c>
      <c r="U65" t="s">
        <v>143</v>
      </c>
      <c r="V65" t="s">
        <v>144</v>
      </c>
      <c r="W65">
        <v>34.799999999999997</v>
      </c>
      <c r="X65">
        <v>63</v>
      </c>
      <c r="Y65" s="6">
        <v>2192.4</v>
      </c>
      <c r="Z65" s="5">
        <v>217.04759999999999</v>
      </c>
    </row>
    <row r="66" spans="1:26" hidden="1">
      <c r="A66">
        <v>1070</v>
      </c>
      <c r="B66" s="4">
        <v>41701</v>
      </c>
      <c r="C66">
        <v>3</v>
      </c>
      <c r="D66" t="s">
        <v>84</v>
      </c>
      <c r="E66" t="s">
        <v>85</v>
      </c>
      <c r="F66" t="s">
        <v>86</v>
      </c>
      <c r="G66" t="s">
        <v>87</v>
      </c>
      <c r="H66">
        <v>99999</v>
      </c>
      <c r="I66" t="s">
        <v>40</v>
      </c>
      <c r="J66" t="s">
        <v>41</v>
      </c>
      <c r="K66" t="s">
        <v>42</v>
      </c>
      <c r="L66" s="4">
        <v>41703</v>
      </c>
      <c r="M66" t="s">
        <v>43</v>
      </c>
      <c r="N66" t="s">
        <v>88</v>
      </c>
      <c r="O66" t="s">
        <v>85</v>
      </c>
      <c r="P66" t="s">
        <v>86</v>
      </c>
      <c r="Q66" t="s">
        <v>87</v>
      </c>
      <c r="R66">
        <v>99999</v>
      </c>
      <c r="S66" t="s">
        <v>40</v>
      </c>
      <c r="T66" t="s">
        <v>89</v>
      </c>
      <c r="U66" t="s">
        <v>145</v>
      </c>
      <c r="V66" t="s">
        <v>122</v>
      </c>
      <c r="W66">
        <v>10</v>
      </c>
      <c r="X66">
        <v>48</v>
      </c>
      <c r="Y66" s="6">
        <v>480</v>
      </c>
      <c r="Z66" s="5">
        <v>48</v>
      </c>
    </row>
    <row r="67" spans="1:26" hidden="1">
      <c r="A67">
        <v>1071</v>
      </c>
      <c r="B67" s="4">
        <v>41701</v>
      </c>
      <c r="C67">
        <v>3</v>
      </c>
      <c r="D67" t="s">
        <v>84</v>
      </c>
      <c r="E67" t="s">
        <v>85</v>
      </c>
      <c r="F67" t="s">
        <v>86</v>
      </c>
      <c r="G67" t="s">
        <v>87</v>
      </c>
      <c r="H67">
        <v>99999</v>
      </c>
      <c r="I67" t="s">
        <v>40</v>
      </c>
      <c r="J67" t="s">
        <v>41</v>
      </c>
      <c r="K67" t="s">
        <v>42</v>
      </c>
      <c r="L67" s="4">
        <v>41703</v>
      </c>
      <c r="M67" t="s">
        <v>43</v>
      </c>
      <c r="N67" t="s">
        <v>88</v>
      </c>
      <c r="O67" t="s">
        <v>85</v>
      </c>
      <c r="P67" t="s">
        <v>86</v>
      </c>
      <c r="Q67" t="s">
        <v>87</v>
      </c>
      <c r="R67">
        <v>99999</v>
      </c>
      <c r="S67" t="s">
        <v>40</v>
      </c>
      <c r="T67" t="s">
        <v>89</v>
      </c>
      <c r="U67" t="s">
        <v>98</v>
      </c>
      <c r="V67" t="s">
        <v>99</v>
      </c>
      <c r="W67">
        <v>40</v>
      </c>
      <c r="X67">
        <v>71</v>
      </c>
      <c r="Y67" s="6">
        <v>2840</v>
      </c>
      <c r="Z67" s="5">
        <v>295.36</v>
      </c>
    </row>
    <row r="68" spans="1:26" hidden="1">
      <c r="A68">
        <v>1075</v>
      </c>
      <c r="B68" s="4">
        <v>41708</v>
      </c>
      <c r="C68">
        <v>10</v>
      </c>
      <c r="D68" t="s">
        <v>107</v>
      </c>
      <c r="E68" t="s">
        <v>108</v>
      </c>
      <c r="F68" t="s">
        <v>109</v>
      </c>
      <c r="G68" t="s">
        <v>110</v>
      </c>
      <c r="H68">
        <v>99999</v>
      </c>
      <c r="I68" t="s">
        <v>40</v>
      </c>
      <c r="J68" t="s">
        <v>111</v>
      </c>
      <c r="K68" t="s">
        <v>55</v>
      </c>
      <c r="L68" s="4">
        <v>41710</v>
      </c>
      <c r="M68" t="s">
        <v>43</v>
      </c>
      <c r="N68" t="s">
        <v>112</v>
      </c>
      <c r="O68" t="s">
        <v>108</v>
      </c>
      <c r="P68" t="s">
        <v>109</v>
      </c>
      <c r="Q68" t="s">
        <v>110</v>
      </c>
      <c r="R68">
        <v>99999</v>
      </c>
      <c r="S68" t="s">
        <v>40</v>
      </c>
      <c r="T68" t="s">
        <v>58</v>
      </c>
      <c r="U68" t="s">
        <v>147</v>
      </c>
      <c r="V68" t="s">
        <v>49</v>
      </c>
      <c r="W68">
        <v>10</v>
      </c>
      <c r="X68">
        <v>55</v>
      </c>
      <c r="Y68" s="6">
        <v>550</v>
      </c>
      <c r="Z68" s="5">
        <v>55</v>
      </c>
    </row>
    <row r="69" spans="1:26" hidden="1">
      <c r="A69">
        <v>1077</v>
      </c>
      <c r="B69" s="4">
        <v>41708</v>
      </c>
      <c r="C69">
        <v>10</v>
      </c>
      <c r="D69" t="s">
        <v>107</v>
      </c>
      <c r="E69" t="s">
        <v>108</v>
      </c>
      <c r="F69" t="s">
        <v>109</v>
      </c>
      <c r="G69" t="s">
        <v>110</v>
      </c>
      <c r="H69">
        <v>99999</v>
      </c>
      <c r="I69" t="s">
        <v>40</v>
      </c>
      <c r="J69" t="s">
        <v>111</v>
      </c>
      <c r="K69" t="s">
        <v>55</v>
      </c>
      <c r="L69" s="4"/>
      <c r="M69" t="s">
        <v>56</v>
      </c>
      <c r="N69" t="s">
        <v>112</v>
      </c>
      <c r="O69" t="s">
        <v>108</v>
      </c>
      <c r="P69" t="s">
        <v>109</v>
      </c>
      <c r="Q69" t="s">
        <v>110</v>
      </c>
      <c r="R69">
        <v>99999</v>
      </c>
      <c r="S69" t="s">
        <v>40</v>
      </c>
      <c r="U69" t="s">
        <v>48</v>
      </c>
      <c r="V69" t="s">
        <v>49</v>
      </c>
      <c r="W69">
        <v>3.5</v>
      </c>
      <c r="X69">
        <v>21</v>
      </c>
      <c r="Y69" s="6">
        <v>73.5</v>
      </c>
      <c r="Z69" s="5">
        <v>7.35</v>
      </c>
    </row>
    <row r="70" spans="1:26" hidden="1">
      <c r="A70">
        <v>1078</v>
      </c>
      <c r="B70" s="4">
        <v>41709</v>
      </c>
      <c r="C70">
        <v>11</v>
      </c>
      <c r="D70" t="s">
        <v>123</v>
      </c>
      <c r="E70" t="s">
        <v>124</v>
      </c>
      <c r="F70" t="s">
        <v>125</v>
      </c>
      <c r="G70" t="s">
        <v>126</v>
      </c>
      <c r="H70">
        <v>99999</v>
      </c>
      <c r="I70" t="s">
        <v>40</v>
      </c>
      <c r="J70" t="s">
        <v>104</v>
      </c>
      <c r="K70" t="s">
        <v>105</v>
      </c>
      <c r="L70" s="4"/>
      <c r="M70" t="s">
        <v>72</v>
      </c>
      <c r="N70" t="s">
        <v>127</v>
      </c>
      <c r="O70" t="s">
        <v>124</v>
      </c>
      <c r="P70" t="s">
        <v>125</v>
      </c>
      <c r="Q70" t="s">
        <v>126</v>
      </c>
      <c r="R70">
        <v>99999</v>
      </c>
      <c r="S70" t="s">
        <v>40</v>
      </c>
      <c r="U70" t="s">
        <v>98</v>
      </c>
      <c r="V70" t="s">
        <v>99</v>
      </c>
      <c r="W70">
        <v>40</v>
      </c>
      <c r="X70">
        <v>67</v>
      </c>
      <c r="Y70" s="6">
        <v>2680</v>
      </c>
      <c r="Z70" s="5">
        <v>270.68</v>
      </c>
    </row>
    <row r="71" spans="1:26" hidden="1">
      <c r="A71">
        <v>1079</v>
      </c>
      <c r="B71" s="4">
        <v>41699</v>
      </c>
      <c r="C71">
        <v>1</v>
      </c>
      <c r="D71" t="s">
        <v>128</v>
      </c>
      <c r="E71" t="s">
        <v>129</v>
      </c>
      <c r="F71" t="s">
        <v>130</v>
      </c>
      <c r="G71" t="s">
        <v>131</v>
      </c>
      <c r="H71">
        <v>99999</v>
      </c>
      <c r="I71" t="s">
        <v>40</v>
      </c>
      <c r="J71" t="s">
        <v>70</v>
      </c>
      <c r="K71" t="s">
        <v>71</v>
      </c>
      <c r="L71" s="4"/>
      <c r="M71" t="s">
        <v>72</v>
      </c>
      <c r="N71" t="s">
        <v>132</v>
      </c>
      <c r="O71" t="s">
        <v>129</v>
      </c>
      <c r="P71" t="s">
        <v>130</v>
      </c>
      <c r="Q71" t="s">
        <v>131</v>
      </c>
      <c r="R71">
        <v>99999</v>
      </c>
      <c r="S71" t="s">
        <v>40</v>
      </c>
      <c r="U71" t="s">
        <v>133</v>
      </c>
      <c r="V71" t="s">
        <v>134</v>
      </c>
      <c r="W71">
        <v>18.399999999999999</v>
      </c>
      <c r="X71">
        <v>75</v>
      </c>
      <c r="Y71" s="6">
        <v>1380</v>
      </c>
      <c r="Z71" s="5">
        <v>138</v>
      </c>
    </row>
    <row r="72" spans="1:26" hidden="1">
      <c r="A72">
        <v>1080</v>
      </c>
      <c r="B72" s="4">
        <v>41726</v>
      </c>
      <c r="C72">
        <v>28</v>
      </c>
      <c r="D72" t="s">
        <v>100</v>
      </c>
      <c r="E72" t="s">
        <v>101</v>
      </c>
      <c r="F72" t="s">
        <v>102</v>
      </c>
      <c r="G72" t="s">
        <v>103</v>
      </c>
      <c r="H72">
        <v>99999</v>
      </c>
      <c r="I72" t="s">
        <v>40</v>
      </c>
      <c r="J72" t="s">
        <v>104</v>
      </c>
      <c r="K72" t="s">
        <v>105</v>
      </c>
      <c r="L72" s="4">
        <v>41728</v>
      </c>
      <c r="M72" t="s">
        <v>72</v>
      </c>
      <c r="N72" t="s">
        <v>106</v>
      </c>
      <c r="O72" t="s">
        <v>101</v>
      </c>
      <c r="P72" t="s">
        <v>102</v>
      </c>
      <c r="Q72" t="s">
        <v>103</v>
      </c>
      <c r="R72">
        <v>99999</v>
      </c>
      <c r="S72" t="s">
        <v>40</v>
      </c>
      <c r="T72" t="s">
        <v>58</v>
      </c>
      <c r="U72" t="s">
        <v>65</v>
      </c>
      <c r="V72" t="s">
        <v>47</v>
      </c>
      <c r="W72">
        <v>46</v>
      </c>
      <c r="X72">
        <v>17</v>
      </c>
      <c r="Y72" s="6">
        <v>782</v>
      </c>
      <c r="Z72" s="5">
        <v>80.546000000000006</v>
      </c>
    </row>
    <row r="73" spans="1:26" hidden="1">
      <c r="A73">
        <v>1081</v>
      </c>
      <c r="B73" s="4">
        <v>41733</v>
      </c>
      <c r="C73">
        <v>4</v>
      </c>
      <c r="D73" t="s">
        <v>50</v>
      </c>
      <c r="E73" t="s">
        <v>51</v>
      </c>
      <c r="F73" t="s">
        <v>52</v>
      </c>
      <c r="G73" t="s">
        <v>53</v>
      </c>
      <c r="H73">
        <v>99999</v>
      </c>
      <c r="I73" t="s">
        <v>40</v>
      </c>
      <c r="J73" t="s">
        <v>54</v>
      </c>
      <c r="K73" t="s">
        <v>55</v>
      </c>
      <c r="L73" s="4">
        <v>41735</v>
      </c>
      <c r="M73" t="s">
        <v>56</v>
      </c>
      <c r="N73" t="s">
        <v>57</v>
      </c>
      <c r="O73" t="s">
        <v>51</v>
      </c>
      <c r="P73" t="s">
        <v>52</v>
      </c>
      <c r="Q73" t="s">
        <v>53</v>
      </c>
      <c r="R73">
        <v>99999</v>
      </c>
      <c r="S73" t="s">
        <v>40</v>
      </c>
      <c r="T73" t="s">
        <v>58</v>
      </c>
      <c r="U73" t="s">
        <v>48</v>
      </c>
      <c r="V73" t="s">
        <v>49</v>
      </c>
      <c r="W73">
        <v>3.5</v>
      </c>
      <c r="X73">
        <v>48</v>
      </c>
      <c r="Y73" s="6">
        <v>168</v>
      </c>
      <c r="Z73" s="5">
        <v>16.295999999999999</v>
      </c>
    </row>
    <row r="74" spans="1:26" hidden="1">
      <c r="A74">
        <v>1082</v>
      </c>
      <c r="B74" s="4">
        <v>41741</v>
      </c>
      <c r="C74">
        <v>12</v>
      </c>
      <c r="D74" t="s">
        <v>61</v>
      </c>
      <c r="E74" t="s">
        <v>62</v>
      </c>
      <c r="F74" t="s">
        <v>38</v>
      </c>
      <c r="G74" t="s">
        <v>39</v>
      </c>
      <c r="H74">
        <v>99999</v>
      </c>
      <c r="I74" t="s">
        <v>40</v>
      </c>
      <c r="J74" t="s">
        <v>41</v>
      </c>
      <c r="K74" t="s">
        <v>42</v>
      </c>
      <c r="L74" s="4">
        <v>41743</v>
      </c>
      <c r="M74" t="s">
        <v>43</v>
      </c>
      <c r="N74" t="s">
        <v>63</v>
      </c>
      <c r="O74" t="s">
        <v>62</v>
      </c>
      <c r="P74" t="s">
        <v>38</v>
      </c>
      <c r="Q74" t="s">
        <v>39</v>
      </c>
      <c r="R74">
        <v>99999</v>
      </c>
      <c r="S74" t="s">
        <v>40</v>
      </c>
      <c r="T74" t="s">
        <v>58</v>
      </c>
      <c r="U74" t="s">
        <v>64</v>
      </c>
      <c r="V74" t="s">
        <v>47</v>
      </c>
      <c r="W74">
        <v>18</v>
      </c>
      <c r="X74">
        <v>74</v>
      </c>
      <c r="Y74" s="6">
        <v>1332</v>
      </c>
      <c r="Z74" s="5">
        <v>137.196</v>
      </c>
    </row>
    <row r="75" spans="1:26" hidden="1">
      <c r="A75">
        <v>1083</v>
      </c>
      <c r="B75" s="4">
        <v>41741</v>
      </c>
      <c r="C75">
        <v>12</v>
      </c>
      <c r="D75" t="s">
        <v>61</v>
      </c>
      <c r="E75" t="s">
        <v>62</v>
      </c>
      <c r="F75" t="s">
        <v>38</v>
      </c>
      <c r="G75" t="s">
        <v>39</v>
      </c>
      <c r="H75">
        <v>99999</v>
      </c>
      <c r="I75" t="s">
        <v>40</v>
      </c>
      <c r="J75" t="s">
        <v>41</v>
      </c>
      <c r="K75" t="s">
        <v>42</v>
      </c>
      <c r="L75" s="4">
        <v>41743</v>
      </c>
      <c r="M75" t="s">
        <v>43</v>
      </c>
      <c r="N75" t="s">
        <v>63</v>
      </c>
      <c r="O75" t="s">
        <v>62</v>
      </c>
      <c r="P75" t="s">
        <v>38</v>
      </c>
      <c r="Q75" t="s">
        <v>39</v>
      </c>
      <c r="R75">
        <v>99999</v>
      </c>
      <c r="S75" t="s">
        <v>40</v>
      </c>
      <c r="T75" t="s">
        <v>58</v>
      </c>
      <c r="U75" t="s">
        <v>65</v>
      </c>
      <c r="V75" t="s">
        <v>47</v>
      </c>
      <c r="W75">
        <v>46</v>
      </c>
      <c r="X75">
        <v>96</v>
      </c>
      <c r="Y75" s="6">
        <v>4416</v>
      </c>
      <c r="Z75" s="5">
        <v>428.35199999999998</v>
      </c>
    </row>
    <row r="76" spans="1:26">
      <c r="A76">
        <v>1084</v>
      </c>
      <c r="B76" s="4">
        <v>41737</v>
      </c>
      <c r="C76">
        <v>8</v>
      </c>
      <c r="D76" t="s">
        <v>66</v>
      </c>
      <c r="E76" t="s">
        <v>67</v>
      </c>
      <c r="F76" t="s">
        <v>68</v>
      </c>
      <c r="G76" t="s">
        <v>69</v>
      </c>
      <c r="H76">
        <v>99999</v>
      </c>
      <c r="I76" t="s">
        <v>40</v>
      </c>
      <c r="J76" t="s">
        <v>70</v>
      </c>
      <c r="K76" t="s">
        <v>71</v>
      </c>
      <c r="L76" s="4">
        <v>41739</v>
      </c>
      <c r="M76" t="s">
        <v>72</v>
      </c>
      <c r="N76" t="s">
        <v>73</v>
      </c>
      <c r="O76" t="s">
        <v>67</v>
      </c>
      <c r="P76" t="s">
        <v>68</v>
      </c>
      <c r="Q76" t="s">
        <v>69</v>
      </c>
      <c r="R76">
        <v>99999</v>
      </c>
      <c r="S76" t="s">
        <v>40</v>
      </c>
      <c r="T76" t="s">
        <v>58</v>
      </c>
      <c r="U76" t="s">
        <v>74</v>
      </c>
      <c r="V76" t="s">
        <v>75</v>
      </c>
      <c r="W76">
        <v>9.1999999999999993</v>
      </c>
      <c r="X76">
        <v>12</v>
      </c>
      <c r="Y76" s="6">
        <v>110.4</v>
      </c>
      <c r="Z76" s="5">
        <v>11.3712</v>
      </c>
    </row>
    <row r="77" spans="1:26">
      <c r="A77">
        <v>1085</v>
      </c>
      <c r="B77" s="4">
        <v>41733</v>
      </c>
      <c r="C77">
        <v>4</v>
      </c>
      <c r="D77" t="s">
        <v>50</v>
      </c>
      <c r="E77" t="s">
        <v>51</v>
      </c>
      <c r="F77" t="s">
        <v>52</v>
      </c>
      <c r="G77" t="s">
        <v>53</v>
      </c>
      <c r="H77">
        <v>99999</v>
      </c>
      <c r="I77" t="s">
        <v>40</v>
      </c>
      <c r="J77" t="s">
        <v>54</v>
      </c>
      <c r="K77" t="s">
        <v>55</v>
      </c>
      <c r="L77">
        <v>41735</v>
      </c>
      <c r="M77" t="s">
        <v>72</v>
      </c>
      <c r="N77" t="s">
        <v>57</v>
      </c>
      <c r="O77" t="s">
        <v>51</v>
      </c>
      <c r="P77" t="s">
        <v>52</v>
      </c>
      <c r="Q77" t="s">
        <v>53</v>
      </c>
      <c r="R77">
        <v>99999</v>
      </c>
      <c r="S77" t="s">
        <v>40</v>
      </c>
      <c r="T77" t="s">
        <v>45</v>
      </c>
      <c r="U77" t="s">
        <v>74</v>
      </c>
      <c r="V77" t="s">
        <v>75</v>
      </c>
      <c r="W77">
        <v>9.1999999999999993</v>
      </c>
      <c r="X77">
        <v>62</v>
      </c>
      <c r="Y77" s="6">
        <v>570.4</v>
      </c>
      <c r="Z77" s="5">
        <v>58.751199999999997</v>
      </c>
    </row>
    <row r="78" spans="1:26" hidden="1">
      <c r="A78">
        <v>1086</v>
      </c>
      <c r="B78" s="4">
        <v>41758</v>
      </c>
      <c r="C78">
        <v>29</v>
      </c>
      <c r="D78" t="s">
        <v>76</v>
      </c>
      <c r="E78" t="s">
        <v>77</v>
      </c>
      <c r="F78" t="s">
        <v>78</v>
      </c>
      <c r="G78" t="s">
        <v>79</v>
      </c>
      <c r="H78">
        <v>99999</v>
      </c>
      <c r="I78" t="s">
        <v>40</v>
      </c>
      <c r="J78" t="s">
        <v>80</v>
      </c>
      <c r="K78" t="s">
        <v>42</v>
      </c>
      <c r="L78">
        <v>41760</v>
      </c>
      <c r="M78" t="s">
        <v>43</v>
      </c>
      <c r="N78" t="s">
        <v>81</v>
      </c>
      <c r="O78" t="s">
        <v>77</v>
      </c>
      <c r="P78" t="s">
        <v>78</v>
      </c>
      <c r="Q78" t="s">
        <v>79</v>
      </c>
      <c r="R78">
        <v>99999</v>
      </c>
      <c r="S78" t="s">
        <v>40</v>
      </c>
      <c r="T78" t="s">
        <v>45</v>
      </c>
      <c r="U78" t="s">
        <v>82</v>
      </c>
      <c r="V78" t="s">
        <v>83</v>
      </c>
      <c r="W78">
        <v>12.75</v>
      </c>
      <c r="X78">
        <v>35</v>
      </c>
      <c r="Y78" s="6">
        <v>446.25</v>
      </c>
      <c r="Z78" s="5">
        <v>45.963749999999997</v>
      </c>
    </row>
    <row r="79" spans="1:26" hidden="1">
      <c r="A79">
        <v>1087</v>
      </c>
      <c r="B79" s="4">
        <v>41732</v>
      </c>
      <c r="C79">
        <v>3</v>
      </c>
      <c r="D79" t="s">
        <v>84</v>
      </c>
      <c r="E79" t="s">
        <v>85</v>
      </c>
      <c r="F79" t="s">
        <v>86</v>
      </c>
      <c r="G79" t="s">
        <v>87</v>
      </c>
      <c r="H79">
        <v>99999</v>
      </c>
      <c r="I79" t="s">
        <v>40</v>
      </c>
      <c r="J79" t="s">
        <v>41</v>
      </c>
      <c r="K79" t="s">
        <v>42</v>
      </c>
      <c r="L79">
        <v>41734</v>
      </c>
      <c r="M79" t="s">
        <v>43</v>
      </c>
      <c r="N79" t="s">
        <v>88</v>
      </c>
      <c r="O79" t="s">
        <v>85</v>
      </c>
      <c r="P79" t="s">
        <v>86</v>
      </c>
      <c r="Q79" t="s">
        <v>87</v>
      </c>
      <c r="R79">
        <v>99999</v>
      </c>
      <c r="S79" t="s">
        <v>40</v>
      </c>
      <c r="T79" t="s">
        <v>89</v>
      </c>
      <c r="U79" t="s">
        <v>90</v>
      </c>
      <c r="V79" t="s">
        <v>91</v>
      </c>
      <c r="W79">
        <v>9.65</v>
      </c>
      <c r="X79">
        <v>95</v>
      </c>
      <c r="Y79" s="6">
        <v>916.75</v>
      </c>
      <c r="Z79" s="5">
        <v>91.674999999999997</v>
      </c>
    </row>
    <row r="80" spans="1:26" hidden="1">
      <c r="A80">
        <v>1088</v>
      </c>
      <c r="B80" s="4">
        <v>41735</v>
      </c>
      <c r="C80">
        <v>6</v>
      </c>
      <c r="D80" t="s">
        <v>92</v>
      </c>
      <c r="E80" t="s">
        <v>93</v>
      </c>
      <c r="F80" t="s">
        <v>94</v>
      </c>
      <c r="G80" t="s">
        <v>95</v>
      </c>
      <c r="H80">
        <v>99999</v>
      </c>
      <c r="I80" t="s">
        <v>40</v>
      </c>
      <c r="J80" t="s">
        <v>96</v>
      </c>
      <c r="K80" t="s">
        <v>71</v>
      </c>
      <c r="L80">
        <v>41737</v>
      </c>
      <c r="M80" t="s">
        <v>43</v>
      </c>
      <c r="N80" t="s">
        <v>97</v>
      </c>
      <c r="O80" t="s">
        <v>93</v>
      </c>
      <c r="P80" t="s">
        <v>94</v>
      </c>
      <c r="Q80" t="s">
        <v>95</v>
      </c>
      <c r="R80">
        <v>99999</v>
      </c>
      <c r="S80" t="s">
        <v>40</v>
      </c>
      <c r="T80" t="s">
        <v>58</v>
      </c>
      <c r="U80" t="s">
        <v>98</v>
      </c>
      <c r="V80" t="s">
        <v>99</v>
      </c>
      <c r="W80">
        <v>40</v>
      </c>
      <c r="X80">
        <v>17</v>
      </c>
      <c r="Y80" s="6">
        <v>680</v>
      </c>
      <c r="Z80" s="5">
        <v>68.680000000000007</v>
      </c>
    </row>
    <row r="81" spans="1:26" hidden="1">
      <c r="A81">
        <v>1089</v>
      </c>
      <c r="B81" s="4">
        <v>41757</v>
      </c>
      <c r="C81">
        <v>28</v>
      </c>
      <c r="D81" t="s">
        <v>100</v>
      </c>
      <c r="E81" t="s">
        <v>101</v>
      </c>
      <c r="F81" t="s">
        <v>102</v>
      </c>
      <c r="G81" t="s">
        <v>103</v>
      </c>
      <c r="H81">
        <v>99999</v>
      </c>
      <c r="I81" t="s">
        <v>40</v>
      </c>
      <c r="J81" t="s">
        <v>104</v>
      </c>
      <c r="K81" t="s">
        <v>105</v>
      </c>
      <c r="L81" s="4">
        <v>41759</v>
      </c>
      <c r="M81" t="s">
        <v>72</v>
      </c>
      <c r="N81" t="s">
        <v>106</v>
      </c>
      <c r="O81" t="s">
        <v>101</v>
      </c>
      <c r="P81" t="s">
        <v>102</v>
      </c>
      <c r="Q81" t="s">
        <v>103</v>
      </c>
      <c r="R81">
        <v>99999</v>
      </c>
      <c r="S81" t="s">
        <v>40</v>
      </c>
      <c r="T81" t="s">
        <v>45</v>
      </c>
      <c r="U81" t="s">
        <v>65</v>
      </c>
      <c r="V81" t="s">
        <v>47</v>
      </c>
      <c r="W81">
        <v>46</v>
      </c>
      <c r="X81">
        <v>96</v>
      </c>
      <c r="Y81" s="6">
        <v>4416</v>
      </c>
      <c r="Z81" s="5">
        <v>463.68</v>
      </c>
    </row>
    <row r="82" spans="1:26" hidden="1">
      <c r="A82">
        <v>1090</v>
      </c>
      <c r="B82" s="4">
        <v>41737</v>
      </c>
      <c r="C82">
        <v>8</v>
      </c>
      <c r="D82" t="s">
        <v>66</v>
      </c>
      <c r="E82" t="s">
        <v>67</v>
      </c>
      <c r="F82" t="s">
        <v>68</v>
      </c>
      <c r="G82" t="s">
        <v>69</v>
      </c>
      <c r="H82">
        <v>99999</v>
      </c>
      <c r="I82" t="s">
        <v>40</v>
      </c>
      <c r="J82" t="s">
        <v>70</v>
      </c>
      <c r="K82" t="s">
        <v>71</v>
      </c>
      <c r="L82" s="4">
        <v>41739</v>
      </c>
      <c r="M82" t="s">
        <v>72</v>
      </c>
      <c r="N82" t="s">
        <v>73</v>
      </c>
      <c r="O82" t="s">
        <v>67</v>
      </c>
      <c r="P82" t="s">
        <v>68</v>
      </c>
      <c r="Q82" t="s">
        <v>69</v>
      </c>
      <c r="R82">
        <v>99999</v>
      </c>
      <c r="S82" t="s">
        <v>40</v>
      </c>
      <c r="T82" t="s">
        <v>45</v>
      </c>
      <c r="U82" t="s">
        <v>82</v>
      </c>
      <c r="V82" t="s">
        <v>83</v>
      </c>
      <c r="W82" s="5">
        <v>12.75</v>
      </c>
      <c r="X82">
        <v>83</v>
      </c>
      <c r="Y82" s="6">
        <v>1058.25</v>
      </c>
      <c r="Z82" s="5">
        <v>102.65025</v>
      </c>
    </row>
    <row r="83" spans="1:26" hidden="1">
      <c r="A83">
        <v>1091</v>
      </c>
      <c r="B83" s="4">
        <v>41739</v>
      </c>
      <c r="C83">
        <v>10</v>
      </c>
      <c r="D83" t="s">
        <v>107</v>
      </c>
      <c r="E83" t="s">
        <v>108</v>
      </c>
      <c r="F83" t="s">
        <v>109</v>
      </c>
      <c r="G83" t="s">
        <v>110</v>
      </c>
      <c r="H83">
        <v>99999</v>
      </c>
      <c r="I83" t="s">
        <v>40</v>
      </c>
      <c r="J83" t="s">
        <v>111</v>
      </c>
      <c r="K83" t="s">
        <v>55</v>
      </c>
      <c r="L83" s="4">
        <v>41741</v>
      </c>
      <c r="M83" t="s">
        <v>43</v>
      </c>
      <c r="N83" t="s">
        <v>112</v>
      </c>
      <c r="O83" t="s">
        <v>108</v>
      </c>
      <c r="P83" t="s">
        <v>109</v>
      </c>
      <c r="Q83" t="s">
        <v>110</v>
      </c>
      <c r="R83">
        <v>99999</v>
      </c>
      <c r="S83" t="s">
        <v>40</v>
      </c>
      <c r="T83" t="s">
        <v>58</v>
      </c>
      <c r="U83" t="s">
        <v>113</v>
      </c>
      <c r="V83" t="s">
        <v>47</v>
      </c>
      <c r="W83" s="5">
        <v>2.99</v>
      </c>
      <c r="X83">
        <v>88</v>
      </c>
      <c r="Y83" s="6">
        <v>263.12</v>
      </c>
      <c r="Z83" s="5">
        <v>26.04888</v>
      </c>
    </row>
    <row r="84" spans="1:26" hidden="1">
      <c r="A84">
        <v>1092</v>
      </c>
      <c r="B84" s="4">
        <v>41736</v>
      </c>
      <c r="C84">
        <v>7</v>
      </c>
      <c r="D84" t="s">
        <v>114</v>
      </c>
      <c r="E84" t="s">
        <v>115</v>
      </c>
      <c r="F84" t="s">
        <v>116</v>
      </c>
      <c r="G84" t="s">
        <v>117</v>
      </c>
      <c r="H84">
        <v>99999</v>
      </c>
      <c r="I84" t="s">
        <v>40</v>
      </c>
      <c r="J84" t="s">
        <v>70</v>
      </c>
      <c r="K84" t="s">
        <v>71</v>
      </c>
      <c r="L84" s="4"/>
      <c r="N84" t="s">
        <v>118</v>
      </c>
      <c r="O84" t="s">
        <v>115</v>
      </c>
      <c r="P84" t="s">
        <v>116</v>
      </c>
      <c r="Q84" t="s">
        <v>117</v>
      </c>
      <c r="R84">
        <v>99999</v>
      </c>
      <c r="S84" t="s">
        <v>40</v>
      </c>
      <c r="U84" t="s">
        <v>65</v>
      </c>
      <c r="V84" t="s">
        <v>47</v>
      </c>
      <c r="W84" s="5">
        <v>46</v>
      </c>
      <c r="X84">
        <v>59</v>
      </c>
      <c r="Y84" s="6">
        <v>2714</v>
      </c>
      <c r="Z84" s="5">
        <v>284.97000000000003</v>
      </c>
    </row>
    <row r="85" spans="1:26" hidden="1">
      <c r="A85">
        <v>1093</v>
      </c>
      <c r="B85" s="4">
        <v>41739</v>
      </c>
      <c r="C85">
        <v>10</v>
      </c>
      <c r="D85" t="s">
        <v>107</v>
      </c>
      <c r="E85" t="s">
        <v>108</v>
      </c>
      <c r="F85" t="s">
        <v>109</v>
      </c>
      <c r="G85" t="s">
        <v>110</v>
      </c>
      <c r="H85">
        <v>99999</v>
      </c>
      <c r="I85" t="s">
        <v>40</v>
      </c>
      <c r="J85" t="s">
        <v>111</v>
      </c>
      <c r="K85" t="s">
        <v>55</v>
      </c>
      <c r="L85" s="4">
        <v>41741</v>
      </c>
      <c r="M85" t="s">
        <v>56</v>
      </c>
      <c r="N85" t="s">
        <v>112</v>
      </c>
      <c r="O85" t="s">
        <v>108</v>
      </c>
      <c r="P85" t="s">
        <v>109</v>
      </c>
      <c r="Q85" t="s">
        <v>110</v>
      </c>
      <c r="R85">
        <v>99999</v>
      </c>
      <c r="S85" t="s">
        <v>40</v>
      </c>
      <c r="U85" t="s">
        <v>119</v>
      </c>
      <c r="V85" t="s">
        <v>120</v>
      </c>
      <c r="W85" s="5">
        <v>25</v>
      </c>
      <c r="X85">
        <v>27</v>
      </c>
      <c r="Y85" s="6">
        <v>675</v>
      </c>
      <c r="Z85" s="5">
        <v>68.849999999999994</v>
      </c>
    </row>
    <row r="86" spans="1:26" hidden="1">
      <c r="A86">
        <v>1094</v>
      </c>
      <c r="B86" s="4">
        <v>41739</v>
      </c>
      <c r="C86">
        <v>10</v>
      </c>
      <c r="D86" t="s">
        <v>107</v>
      </c>
      <c r="E86" t="s">
        <v>108</v>
      </c>
      <c r="F86" t="s">
        <v>109</v>
      </c>
      <c r="G86" t="s">
        <v>110</v>
      </c>
      <c r="H86">
        <v>99999</v>
      </c>
      <c r="I86" t="s">
        <v>40</v>
      </c>
      <c r="J86" t="s">
        <v>111</v>
      </c>
      <c r="K86" t="s">
        <v>55</v>
      </c>
      <c r="L86" s="4">
        <v>41741</v>
      </c>
      <c r="M86" t="s">
        <v>56</v>
      </c>
      <c r="N86" t="s">
        <v>112</v>
      </c>
      <c r="O86" t="s">
        <v>108</v>
      </c>
      <c r="P86" t="s">
        <v>109</v>
      </c>
      <c r="Q86" t="s">
        <v>110</v>
      </c>
      <c r="R86">
        <v>99999</v>
      </c>
      <c r="S86" t="s">
        <v>40</v>
      </c>
      <c r="U86" t="s">
        <v>121</v>
      </c>
      <c r="V86" t="s">
        <v>122</v>
      </c>
      <c r="W86" s="5">
        <v>22</v>
      </c>
      <c r="X86">
        <v>37</v>
      </c>
      <c r="Y86" s="6">
        <v>814</v>
      </c>
      <c r="Z86" s="5">
        <v>85.47</v>
      </c>
    </row>
    <row r="87" spans="1:26">
      <c r="A87">
        <v>1095</v>
      </c>
      <c r="B87" s="4">
        <v>41739</v>
      </c>
      <c r="C87">
        <v>10</v>
      </c>
      <c r="D87" t="s">
        <v>107</v>
      </c>
      <c r="E87" t="s">
        <v>108</v>
      </c>
      <c r="F87" t="s">
        <v>109</v>
      </c>
      <c r="G87" t="s">
        <v>110</v>
      </c>
      <c r="H87">
        <v>99999</v>
      </c>
      <c r="I87" t="s">
        <v>40</v>
      </c>
      <c r="J87" t="s">
        <v>111</v>
      </c>
      <c r="K87" t="s">
        <v>55</v>
      </c>
      <c r="L87" s="4">
        <v>41741</v>
      </c>
      <c r="M87" t="s">
        <v>56</v>
      </c>
      <c r="N87" t="s">
        <v>112</v>
      </c>
      <c r="O87" t="s">
        <v>108</v>
      </c>
      <c r="P87" t="s">
        <v>109</v>
      </c>
      <c r="Q87" t="s">
        <v>110</v>
      </c>
      <c r="R87">
        <v>99999</v>
      </c>
      <c r="S87" t="s">
        <v>40</v>
      </c>
      <c r="U87" t="s">
        <v>74</v>
      </c>
      <c r="V87" t="s">
        <v>75</v>
      </c>
      <c r="W87" s="5">
        <v>9.1999999999999993</v>
      </c>
      <c r="X87">
        <v>75</v>
      </c>
      <c r="Y87" s="6">
        <v>690</v>
      </c>
      <c r="Z87" s="5">
        <v>69</v>
      </c>
    </row>
    <row r="88" spans="1:26" hidden="1">
      <c r="A88">
        <v>1096</v>
      </c>
      <c r="B88" s="4">
        <v>41740</v>
      </c>
      <c r="C88">
        <v>11</v>
      </c>
      <c r="D88" t="s">
        <v>123</v>
      </c>
      <c r="E88" t="s">
        <v>124</v>
      </c>
      <c r="F88" t="s">
        <v>125</v>
      </c>
      <c r="G88" t="s">
        <v>126</v>
      </c>
      <c r="H88">
        <v>99999</v>
      </c>
      <c r="I88" t="s">
        <v>40</v>
      </c>
      <c r="J88" t="s">
        <v>104</v>
      </c>
      <c r="K88" t="s">
        <v>105</v>
      </c>
      <c r="L88" s="4"/>
      <c r="M88" t="s">
        <v>72</v>
      </c>
      <c r="N88" t="s">
        <v>127</v>
      </c>
      <c r="O88" t="s">
        <v>124</v>
      </c>
      <c r="P88" t="s">
        <v>125</v>
      </c>
      <c r="Q88" t="s">
        <v>126</v>
      </c>
      <c r="R88">
        <v>99999</v>
      </c>
      <c r="S88" t="s">
        <v>40</v>
      </c>
      <c r="U88" t="s">
        <v>48</v>
      </c>
      <c r="V88" t="s">
        <v>49</v>
      </c>
      <c r="W88" s="5">
        <v>3.5</v>
      </c>
      <c r="X88">
        <v>71</v>
      </c>
      <c r="Y88" s="6">
        <v>248.5</v>
      </c>
      <c r="Z88" s="5">
        <v>24.104500000000002</v>
      </c>
    </row>
    <row r="89" spans="1:26" hidden="1">
      <c r="A89">
        <v>1097</v>
      </c>
      <c r="B89" s="4">
        <v>41740</v>
      </c>
      <c r="C89">
        <v>11</v>
      </c>
      <c r="D89" t="s">
        <v>123</v>
      </c>
      <c r="E89" t="s">
        <v>124</v>
      </c>
      <c r="F89" t="s">
        <v>125</v>
      </c>
      <c r="G89" t="s">
        <v>126</v>
      </c>
      <c r="H89">
        <v>99999</v>
      </c>
      <c r="I89" t="s">
        <v>40</v>
      </c>
      <c r="J89" t="s">
        <v>104</v>
      </c>
      <c r="K89" t="s">
        <v>105</v>
      </c>
      <c r="L89" s="4"/>
      <c r="M89" t="s">
        <v>72</v>
      </c>
      <c r="N89" t="s">
        <v>127</v>
      </c>
      <c r="O89" t="s">
        <v>124</v>
      </c>
      <c r="P89" t="s">
        <v>125</v>
      </c>
      <c r="Q89" t="s">
        <v>126</v>
      </c>
      <c r="R89">
        <v>99999</v>
      </c>
      <c r="S89" t="s">
        <v>40</v>
      </c>
      <c r="U89" t="s">
        <v>113</v>
      </c>
      <c r="V89" t="s">
        <v>47</v>
      </c>
      <c r="W89" s="5">
        <v>2.99</v>
      </c>
      <c r="X89">
        <v>88</v>
      </c>
      <c r="Y89" s="6">
        <v>263.12</v>
      </c>
      <c r="Z89" s="5">
        <v>26.04888</v>
      </c>
    </row>
    <row r="90" spans="1:26" hidden="1">
      <c r="A90">
        <v>1098</v>
      </c>
      <c r="B90" s="4">
        <v>41730</v>
      </c>
      <c r="C90">
        <v>1</v>
      </c>
      <c r="D90" t="s">
        <v>128</v>
      </c>
      <c r="E90" t="s">
        <v>129</v>
      </c>
      <c r="F90" t="s">
        <v>130</v>
      </c>
      <c r="G90" t="s">
        <v>131</v>
      </c>
      <c r="H90">
        <v>99999</v>
      </c>
      <c r="I90" t="s">
        <v>40</v>
      </c>
      <c r="J90" t="s">
        <v>70</v>
      </c>
      <c r="K90" t="s">
        <v>71</v>
      </c>
      <c r="L90" s="4"/>
      <c r="N90" t="s">
        <v>132</v>
      </c>
      <c r="O90" t="s">
        <v>129</v>
      </c>
      <c r="P90" t="s">
        <v>130</v>
      </c>
      <c r="Q90" t="s">
        <v>131</v>
      </c>
      <c r="R90">
        <v>99999</v>
      </c>
      <c r="S90" t="s">
        <v>40</v>
      </c>
      <c r="U90" t="s">
        <v>64</v>
      </c>
      <c r="V90" t="s">
        <v>47</v>
      </c>
      <c r="W90" s="5">
        <v>18</v>
      </c>
      <c r="X90">
        <v>55</v>
      </c>
      <c r="Y90" s="6">
        <v>990</v>
      </c>
      <c r="Z90" s="5">
        <v>97.02</v>
      </c>
    </row>
    <row r="91" spans="1:26" hidden="1">
      <c r="A91">
        <v>1099</v>
      </c>
      <c r="B91" s="4">
        <v>41788</v>
      </c>
      <c r="C91">
        <v>29</v>
      </c>
      <c r="D91" t="s">
        <v>76</v>
      </c>
      <c r="E91" t="s">
        <v>77</v>
      </c>
      <c r="F91" t="s">
        <v>78</v>
      </c>
      <c r="G91" t="s">
        <v>79</v>
      </c>
      <c r="H91">
        <v>99999</v>
      </c>
      <c r="I91" t="s">
        <v>40</v>
      </c>
      <c r="J91" t="s">
        <v>80</v>
      </c>
      <c r="K91" t="s">
        <v>42</v>
      </c>
      <c r="L91" s="4">
        <v>41790</v>
      </c>
      <c r="M91" t="s">
        <v>43</v>
      </c>
      <c r="N91" t="s">
        <v>81</v>
      </c>
      <c r="O91" t="s">
        <v>77</v>
      </c>
      <c r="P91" t="s">
        <v>78</v>
      </c>
      <c r="Q91" t="s">
        <v>79</v>
      </c>
      <c r="R91">
        <v>99999</v>
      </c>
      <c r="S91" t="s">
        <v>40</v>
      </c>
      <c r="T91" t="s">
        <v>45</v>
      </c>
      <c r="U91" t="s">
        <v>82</v>
      </c>
      <c r="V91" t="s">
        <v>83</v>
      </c>
      <c r="W91" s="5">
        <v>12.75</v>
      </c>
      <c r="X91">
        <v>14</v>
      </c>
      <c r="Y91" s="6">
        <v>178.5</v>
      </c>
      <c r="Z91" s="5">
        <v>16.9575</v>
      </c>
    </row>
    <row r="92" spans="1:26" hidden="1">
      <c r="A92">
        <v>1100</v>
      </c>
      <c r="B92" s="4">
        <v>41762</v>
      </c>
      <c r="C92">
        <v>3</v>
      </c>
      <c r="D92" t="s">
        <v>84</v>
      </c>
      <c r="E92" t="s">
        <v>85</v>
      </c>
      <c r="F92" t="s">
        <v>86</v>
      </c>
      <c r="G92" t="s">
        <v>87</v>
      </c>
      <c r="H92">
        <v>99999</v>
      </c>
      <c r="I92" t="s">
        <v>40</v>
      </c>
      <c r="J92" t="s">
        <v>41</v>
      </c>
      <c r="K92" t="s">
        <v>42</v>
      </c>
      <c r="L92" s="4">
        <v>41764</v>
      </c>
      <c r="M92" t="s">
        <v>43</v>
      </c>
      <c r="N92" t="s">
        <v>88</v>
      </c>
      <c r="O92" t="s">
        <v>85</v>
      </c>
      <c r="P92" t="s">
        <v>86</v>
      </c>
      <c r="Q92" t="s">
        <v>87</v>
      </c>
      <c r="R92">
        <v>99999</v>
      </c>
      <c r="S92" t="s">
        <v>40</v>
      </c>
      <c r="T92" t="s">
        <v>89</v>
      </c>
      <c r="U92" t="s">
        <v>90</v>
      </c>
      <c r="V92" t="s">
        <v>91</v>
      </c>
      <c r="W92" s="5">
        <v>9.65</v>
      </c>
      <c r="X92">
        <v>43</v>
      </c>
      <c r="Y92" s="6">
        <v>414.95</v>
      </c>
      <c r="Z92" s="5">
        <v>42.3249</v>
      </c>
    </row>
    <row r="93" spans="1:26" hidden="1">
      <c r="A93">
        <v>1101</v>
      </c>
      <c r="B93" s="4">
        <v>41765</v>
      </c>
      <c r="C93">
        <v>6</v>
      </c>
      <c r="D93" t="s">
        <v>92</v>
      </c>
      <c r="E93" t="s">
        <v>93</v>
      </c>
      <c r="F93" t="s">
        <v>94</v>
      </c>
      <c r="G93" t="s">
        <v>95</v>
      </c>
      <c r="H93">
        <v>99999</v>
      </c>
      <c r="I93" t="s">
        <v>40</v>
      </c>
      <c r="J93" t="s">
        <v>96</v>
      </c>
      <c r="K93" t="s">
        <v>71</v>
      </c>
      <c r="L93">
        <v>41767</v>
      </c>
      <c r="M93" t="s">
        <v>43</v>
      </c>
      <c r="N93" t="s">
        <v>97</v>
      </c>
      <c r="O93" t="s">
        <v>93</v>
      </c>
      <c r="P93" t="s">
        <v>94</v>
      </c>
      <c r="Q93" t="s">
        <v>95</v>
      </c>
      <c r="R93">
        <v>99999</v>
      </c>
      <c r="S93" t="s">
        <v>40</v>
      </c>
      <c r="T93" t="s">
        <v>58</v>
      </c>
      <c r="U93" t="s">
        <v>98</v>
      </c>
      <c r="V93" t="s">
        <v>99</v>
      </c>
      <c r="W93" s="5">
        <v>40</v>
      </c>
      <c r="X93">
        <v>63</v>
      </c>
      <c r="Y93" s="6">
        <v>2520</v>
      </c>
      <c r="Z93" s="5">
        <v>254.52</v>
      </c>
    </row>
    <row r="94" spans="1:26" hidden="1">
      <c r="A94">
        <v>1102</v>
      </c>
      <c r="B94" s="4">
        <v>41787</v>
      </c>
      <c r="C94">
        <v>28</v>
      </c>
      <c r="D94" t="s">
        <v>100</v>
      </c>
      <c r="E94" t="s">
        <v>101</v>
      </c>
      <c r="F94" t="s">
        <v>102</v>
      </c>
      <c r="G94" t="s">
        <v>103</v>
      </c>
      <c r="H94">
        <v>99999</v>
      </c>
      <c r="I94" t="s">
        <v>40</v>
      </c>
      <c r="J94" t="s">
        <v>104</v>
      </c>
      <c r="K94" t="s">
        <v>105</v>
      </c>
      <c r="L94" s="4">
        <v>41789</v>
      </c>
      <c r="M94" t="s">
        <v>72</v>
      </c>
      <c r="N94" t="s">
        <v>106</v>
      </c>
      <c r="O94" t="s">
        <v>101</v>
      </c>
      <c r="P94" t="s">
        <v>102</v>
      </c>
      <c r="Q94" t="s">
        <v>103</v>
      </c>
      <c r="R94">
        <v>99999</v>
      </c>
      <c r="S94" t="s">
        <v>40</v>
      </c>
      <c r="T94" t="s">
        <v>45</v>
      </c>
      <c r="U94" t="s">
        <v>65</v>
      </c>
      <c r="V94" t="s">
        <v>47</v>
      </c>
      <c r="W94" s="5">
        <v>46</v>
      </c>
      <c r="X94">
        <v>36</v>
      </c>
      <c r="Y94" s="6">
        <v>1656</v>
      </c>
      <c r="Z94" s="5">
        <v>165.6</v>
      </c>
    </row>
    <row r="95" spans="1:26" hidden="1">
      <c r="A95">
        <v>1103</v>
      </c>
      <c r="B95" s="4">
        <v>41767</v>
      </c>
      <c r="C95">
        <v>8</v>
      </c>
      <c r="D95" t="s">
        <v>66</v>
      </c>
      <c r="E95" t="s">
        <v>67</v>
      </c>
      <c r="F95" t="s">
        <v>68</v>
      </c>
      <c r="G95" t="s">
        <v>69</v>
      </c>
      <c r="H95">
        <v>99999</v>
      </c>
      <c r="I95" t="s">
        <v>40</v>
      </c>
      <c r="J95" t="s">
        <v>70</v>
      </c>
      <c r="K95" t="s">
        <v>71</v>
      </c>
      <c r="L95" s="4">
        <v>41769</v>
      </c>
      <c r="M95" t="s">
        <v>72</v>
      </c>
      <c r="N95" t="s">
        <v>73</v>
      </c>
      <c r="O95" t="s">
        <v>67</v>
      </c>
      <c r="P95" t="s">
        <v>68</v>
      </c>
      <c r="Q95" t="s">
        <v>69</v>
      </c>
      <c r="R95">
        <v>99999</v>
      </c>
      <c r="S95" t="s">
        <v>40</v>
      </c>
      <c r="T95" t="s">
        <v>45</v>
      </c>
      <c r="U95" t="s">
        <v>82</v>
      </c>
      <c r="V95" t="s">
        <v>83</v>
      </c>
      <c r="W95" s="5">
        <v>12.75</v>
      </c>
      <c r="X95">
        <v>41</v>
      </c>
      <c r="Y95" s="6">
        <v>522.75</v>
      </c>
      <c r="Z95" s="5">
        <v>54.366</v>
      </c>
    </row>
    <row r="96" spans="1:26" hidden="1">
      <c r="A96">
        <v>1104</v>
      </c>
      <c r="B96" s="4">
        <v>41769</v>
      </c>
      <c r="C96">
        <v>10</v>
      </c>
      <c r="D96" t="s">
        <v>107</v>
      </c>
      <c r="E96" t="s">
        <v>108</v>
      </c>
      <c r="F96" t="s">
        <v>109</v>
      </c>
      <c r="G96" t="s">
        <v>110</v>
      </c>
      <c r="H96">
        <v>99999</v>
      </c>
      <c r="I96" t="s">
        <v>40</v>
      </c>
      <c r="J96" t="s">
        <v>111</v>
      </c>
      <c r="K96" t="s">
        <v>55</v>
      </c>
      <c r="L96" s="4">
        <v>41771</v>
      </c>
      <c r="M96" t="s">
        <v>43</v>
      </c>
      <c r="N96" t="s">
        <v>112</v>
      </c>
      <c r="O96" t="s">
        <v>108</v>
      </c>
      <c r="P96" t="s">
        <v>109</v>
      </c>
      <c r="Q96" t="s">
        <v>110</v>
      </c>
      <c r="R96">
        <v>99999</v>
      </c>
      <c r="S96" t="s">
        <v>40</v>
      </c>
      <c r="T96" t="s">
        <v>58</v>
      </c>
      <c r="U96" t="s">
        <v>113</v>
      </c>
      <c r="V96" t="s">
        <v>47</v>
      </c>
      <c r="W96" s="5">
        <v>2.99</v>
      </c>
      <c r="X96">
        <v>35</v>
      </c>
      <c r="Y96" s="6">
        <v>104.65</v>
      </c>
      <c r="Z96" s="5">
        <v>10.255699999999999</v>
      </c>
    </row>
    <row r="97" spans="1:26" hidden="1">
      <c r="A97">
        <v>1105</v>
      </c>
      <c r="B97" s="4">
        <v>41766</v>
      </c>
      <c r="C97">
        <v>7</v>
      </c>
      <c r="D97" t="s">
        <v>114</v>
      </c>
      <c r="E97" t="s">
        <v>115</v>
      </c>
      <c r="F97" t="s">
        <v>116</v>
      </c>
      <c r="G97" t="s">
        <v>117</v>
      </c>
      <c r="H97">
        <v>99999</v>
      </c>
      <c r="I97" t="s">
        <v>40</v>
      </c>
      <c r="J97" t="s">
        <v>70</v>
      </c>
      <c r="K97" t="s">
        <v>71</v>
      </c>
      <c r="N97" t="s">
        <v>118</v>
      </c>
      <c r="O97" t="s">
        <v>115</v>
      </c>
      <c r="P97" t="s">
        <v>116</v>
      </c>
      <c r="Q97" t="s">
        <v>117</v>
      </c>
      <c r="R97">
        <v>99999</v>
      </c>
      <c r="S97" t="s">
        <v>40</v>
      </c>
      <c r="U97" t="s">
        <v>65</v>
      </c>
      <c r="V97" t="s">
        <v>47</v>
      </c>
      <c r="W97" s="5">
        <v>46</v>
      </c>
      <c r="X97">
        <v>31</v>
      </c>
      <c r="Y97" s="6">
        <v>1426</v>
      </c>
      <c r="Z97" s="5">
        <v>136.89599999999999</v>
      </c>
    </row>
    <row r="98" spans="1:26" hidden="1">
      <c r="A98">
        <v>1106</v>
      </c>
      <c r="B98" s="4">
        <v>41769</v>
      </c>
      <c r="C98">
        <v>10</v>
      </c>
      <c r="D98" t="s">
        <v>107</v>
      </c>
      <c r="E98" t="s">
        <v>108</v>
      </c>
      <c r="F98" t="s">
        <v>109</v>
      </c>
      <c r="G98" t="s">
        <v>110</v>
      </c>
      <c r="H98">
        <v>99999</v>
      </c>
      <c r="I98" t="s">
        <v>40</v>
      </c>
      <c r="J98" t="s">
        <v>111</v>
      </c>
      <c r="K98" t="s">
        <v>55</v>
      </c>
      <c r="L98">
        <v>41771</v>
      </c>
      <c r="M98" t="s">
        <v>56</v>
      </c>
      <c r="N98" t="s">
        <v>112</v>
      </c>
      <c r="O98" t="s">
        <v>108</v>
      </c>
      <c r="P98" t="s">
        <v>109</v>
      </c>
      <c r="Q98" t="s">
        <v>110</v>
      </c>
      <c r="R98">
        <v>99999</v>
      </c>
      <c r="S98" t="s">
        <v>40</v>
      </c>
      <c r="U98" t="s">
        <v>119</v>
      </c>
      <c r="V98" t="s">
        <v>120</v>
      </c>
      <c r="W98" s="5">
        <v>25</v>
      </c>
      <c r="X98">
        <v>52</v>
      </c>
      <c r="Y98" s="6">
        <v>1300</v>
      </c>
      <c r="Z98" s="5">
        <v>123.5</v>
      </c>
    </row>
    <row r="99" spans="1:26" hidden="1">
      <c r="A99">
        <v>1107</v>
      </c>
      <c r="B99" s="4">
        <v>41769</v>
      </c>
      <c r="C99">
        <v>10</v>
      </c>
      <c r="D99" t="s">
        <v>107</v>
      </c>
      <c r="E99" t="s">
        <v>108</v>
      </c>
      <c r="F99" t="s">
        <v>109</v>
      </c>
      <c r="G99" t="s">
        <v>110</v>
      </c>
      <c r="H99">
        <v>99999</v>
      </c>
      <c r="I99" t="s">
        <v>40</v>
      </c>
      <c r="J99" t="s">
        <v>111</v>
      </c>
      <c r="K99" t="s">
        <v>55</v>
      </c>
      <c r="L99">
        <v>41771</v>
      </c>
      <c r="M99" t="s">
        <v>56</v>
      </c>
      <c r="N99" t="s">
        <v>112</v>
      </c>
      <c r="O99" t="s">
        <v>108</v>
      </c>
      <c r="P99" t="s">
        <v>109</v>
      </c>
      <c r="Q99" t="s">
        <v>110</v>
      </c>
      <c r="R99">
        <v>99999</v>
      </c>
      <c r="S99" t="s">
        <v>40</v>
      </c>
      <c r="U99" t="s">
        <v>121</v>
      </c>
      <c r="V99" t="s">
        <v>122</v>
      </c>
      <c r="W99" s="5">
        <v>22</v>
      </c>
      <c r="X99">
        <v>30</v>
      </c>
      <c r="Y99" s="6">
        <v>660</v>
      </c>
      <c r="Z99" s="5">
        <v>67.319999999999993</v>
      </c>
    </row>
    <row r="100" spans="1:26">
      <c r="A100">
        <v>1108</v>
      </c>
      <c r="B100" s="4">
        <v>41769</v>
      </c>
      <c r="C100">
        <v>10</v>
      </c>
      <c r="D100" t="s">
        <v>107</v>
      </c>
      <c r="E100" t="s">
        <v>108</v>
      </c>
      <c r="F100" t="s">
        <v>109</v>
      </c>
      <c r="G100" t="s">
        <v>110</v>
      </c>
      <c r="H100">
        <v>99999</v>
      </c>
      <c r="I100" t="s">
        <v>40</v>
      </c>
      <c r="J100" t="s">
        <v>111</v>
      </c>
      <c r="K100" t="s">
        <v>55</v>
      </c>
      <c r="L100" s="4">
        <v>41771</v>
      </c>
      <c r="M100" t="s">
        <v>56</v>
      </c>
      <c r="N100" t="s">
        <v>112</v>
      </c>
      <c r="O100" t="s">
        <v>108</v>
      </c>
      <c r="P100" t="s">
        <v>109</v>
      </c>
      <c r="Q100" t="s">
        <v>110</v>
      </c>
      <c r="R100">
        <v>99999</v>
      </c>
      <c r="S100" t="s">
        <v>40</v>
      </c>
      <c r="U100" t="s">
        <v>74</v>
      </c>
      <c r="V100" t="s">
        <v>75</v>
      </c>
      <c r="W100" s="5">
        <v>9.1999999999999993</v>
      </c>
      <c r="X100">
        <v>41</v>
      </c>
      <c r="Y100" s="6">
        <v>377.2</v>
      </c>
      <c r="Z100" s="5">
        <v>38.474400000000003</v>
      </c>
    </row>
    <row r="101" spans="1:26" hidden="1">
      <c r="A101">
        <v>1109</v>
      </c>
      <c r="B101" s="4">
        <v>41770</v>
      </c>
      <c r="C101">
        <v>11</v>
      </c>
      <c r="D101" t="s">
        <v>123</v>
      </c>
      <c r="E101" t="s">
        <v>124</v>
      </c>
      <c r="F101" t="s">
        <v>125</v>
      </c>
      <c r="G101" t="s">
        <v>126</v>
      </c>
      <c r="H101">
        <v>99999</v>
      </c>
      <c r="I101" t="s">
        <v>40</v>
      </c>
      <c r="J101" t="s">
        <v>104</v>
      </c>
      <c r="K101" t="s">
        <v>105</v>
      </c>
      <c r="L101" s="4"/>
      <c r="M101" t="s">
        <v>72</v>
      </c>
      <c r="N101" t="s">
        <v>127</v>
      </c>
      <c r="O101" t="s">
        <v>124</v>
      </c>
      <c r="P101" t="s">
        <v>125</v>
      </c>
      <c r="Q101" t="s">
        <v>126</v>
      </c>
      <c r="R101">
        <v>99999</v>
      </c>
      <c r="S101" t="s">
        <v>40</v>
      </c>
      <c r="U101" t="s">
        <v>48</v>
      </c>
      <c r="V101" t="s">
        <v>49</v>
      </c>
      <c r="W101" s="5">
        <v>3.5</v>
      </c>
      <c r="X101">
        <v>44</v>
      </c>
      <c r="Y101" s="6">
        <v>154</v>
      </c>
      <c r="Z101" s="5">
        <v>15.246</v>
      </c>
    </row>
    <row r="102" spans="1:26" hidden="1">
      <c r="A102">
        <v>1110</v>
      </c>
      <c r="B102" s="4">
        <v>41770</v>
      </c>
      <c r="C102">
        <v>11</v>
      </c>
      <c r="D102" t="s">
        <v>123</v>
      </c>
      <c r="E102" t="s">
        <v>124</v>
      </c>
      <c r="F102" t="s">
        <v>125</v>
      </c>
      <c r="G102" t="s">
        <v>126</v>
      </c>
      <c r="H102">
        <v>99999</v>
      </c>
      <c r="I102" t="s">
        <v>40</v>
      </c>
      <c r="J102" t="s">
        <v>104</v>
      </c>
      <c r="K102" t="s">
        <v>105</v>
      </c>
      <c r="L102" s="4"/>
      <c r="M102" t="s">
        <v>72</v>
      </c>
      <c r="N102" t="s">
        <v>127</v>
      </c>
      <c r="O102" t="s">
        <v>124</v>
      </c>
      <c r="P102" t="s">
        <v>125</v>
      </c>
      <c r="Q102" t="s">
        <v>126</v>
      </c>
      <c r="R102">
        <v>99999</v>
      </c>
      <c r="S102" t="s">
        <v>40</v>
      </c>
      <c r="U102" t="s">
        <v>113</v>
      </c>
      <c r="V102" t="s">
        <v>47</v>
      </c>
      <c r="W102" s="5">
        <v>2.99</v>
      </c>
      <c r="X102">
        <v>77</v>
      </c>
      <c r="Y102" s="6">
        <v>230.23</v>
      </c>
      <c r="Z102" s="5">
        <v>23.023</v>
      </c>
    </row>
    <row r="103" spans="1:26" hidden="1">
      <c r="A103">
        <v>1111</v>
      </c>
      <c r="B103" s="4">
        <v>41760</v>
      </c>
      <c r="C103">
        <v>1</v>
      </c>
      <c r="D103" t="s">
        <v>128</v>
      </c>
      <c r="E103" t="s">
        <v>129</v>
      </c>
      <c r="F103" t="s">
        <v>130</v>
      </c>
      <c r="G103" t="s">
        <v>131</v>
      </c>
      <c r="H103">
        <v>99999</v>
      </c>
      <c r="I103" t="s">
        <v>40</v>
      </c>
      <c r="J103" t="s">
        <v>70</v>
      </c>
      <c r="K103" t="s">
        <v>71</v>
      </c>
      <c r="L103" s="4"/>
      <c r="N103" t="s">
        <v>132</v>
      </c>
      <c r="O103" t="s">
        <v>129</v>
      </c>
      <c r="P103" t="s">
        <v>130</v>
      </c>
      <c r="Q103" t="s">
        <v>131</v>
      </c>
      <c r="R103">
        <v>99999</v>
      </c>
      <c r="S103" t="s">
        <v>40</v>
      </c>
      <c r="U103" t="s">
        <v>64</v>
      </c>
      <c r="V103" t="s">
        <v>47</v>
      </c>
      <c r="W103" s="5">
        <v>18</v>
      </c>
      <c r="X103">
        <v>29</v>
      </c>
      <c r="Y103" s="6">
        <v>522</v>
      </c>
      <c r="Z103" s="5">
        <v>52.722000000000001</v>
      </c>
    </row>
    <row r="104" spans="1:26" hidden="1">
      <c r="A104">
        <v>1112</v>
      </c>
      <c r="B104" s="4">
        <v>41760</v>
      </c>
      <c r="C104">
        <v>1</v>
      </c>
      <c r="D104" t="s">
        <v>128</v>
      </c>
      <c r="E104" t="s">
        <v>129</v>
      </c>
      <c r="F104" t="s">
        <v>130</v>
      </c>
      <c r="G104" t="s">
        <v>131</v>
      </c>
      <c r="H104">
        <v>99999</v>
      </c>
      <c r="I104" t="s">
        <v>40</v>
      </c>
      <c r="J104" t="s">
        <v>70</v>
      </c>
      <c r="K104" t="s">
        <v>71</v>
      </c>
      <c r="L104" s="4"/>
      <c r="N104" t="s">
        <v>132</v>
      </c>
      <c r="O104" t="s">
        <v>129</v>
      </c>
      <c r="P104" t="s">
        <v>130</v>
      </c>
      <c r="Q104" t="s">
        <v>131</v>
      </c>
      <c r="R104">
        <v>99999</v>
      </c>
      <c r="S104" t="s">
        <v>40</v>
      </c>
      <c r="U104" t="s">
        <v>65</v>
      </c>
      <c r="V104" t="s">
        <v>47</v>
      </c>
      <c r="W104" s="5">
        <v>46</v>
      </c>
      <c r="X104">
        <v>77</v>
      </c>
      <c r="Y104" s="6">
        <v>3542</v>
      </c>
      <c r="Z104" s="5">
        <v>368.36799999999999</v>
      </c>
    </row>
    <row r="105" spans="1:26" hidden="1">
      <c r="A105">
        <v>1113</v>
      </c>
      <c r="B105" s="4">
        <v>41760</v>
      </c>
      <c r="C105">
        <v>1</v>
      </c>
      <c r="D105" t="s">
        <v>128</v>
      </c>
      <c r="E105" t="s">
        <v>129</v>
      </c>
      <c r="F105" t="s">
        <v>130</v>
      </c>
      <c r="G105" t="s">
        <v>131</v>
      </c>
      <c r="H105">
        <v>99999</v>
      </c>
      <c r="I105" t="s">
        <v>40</v>
      </c>
      <c r="J105" t="s">
        <v>70</v>
      </c>
      <c r="K105" t="s">
        <v>71</v>
      </c>
      <c r="L105" s="4"/>
      <c r="N105" t="s">
        <v>132</v>
      </c>
      <c r="O105" t="s">
        <v>129</v>
      </c>
      <c r="P105" t="s">
        <v>130</v>
      </c>
      <c r="Q105" t="s">
        <v>131</v>
      </c>
      <c r="R105">
        <v>99999</v>
      </c>
      <c r="S105" t="s">
        <v>40</v>
      </c>
      <c r="U105" t="s">
        <v>113</v>
      </c>
      <c r="V105" t="s">
        <v>47</v>
      </c>
      <c r="W105" s="5">
        <v>2.99</v>
      </c>
      <c r="X105">
        <v>73</v>
      </c>
      <c r="Y105" s="6">
        <v>218.27</v>
      </c>
      <c r="Z105" s="5">
        <v>21.827000000000002</v>
      </c>
    </row>
    <row r="106" spans="1:26" hidden="1">
      <c r="A106">
        <v>1114</v>
      </c>
      <c r="B106" s="4">
        <v>41787</v>
      </c>
      <c r="C106">
        <v>28</v>
      </c>
      <c r="D106" t="s">
        <v>100</v>
      </c>
      <c r="E106" t="s">
        <v>101</v>
      </c>
      <c r="F106" t="s">
        <v>102</v>
      </c>
      <c r="G106" t="s">
        <v>103</v>
      </c>
      <c r="H106">
        <v>99999</v>
      </c>
      <c r="I106" t="s">
        <v>40</v>
      </c>
      <c r="J106" t="s">
        <v>104</v>
      </c>
      <c r="K106" t="s">
        <v>105</v>
      </c>
      <c r="L106">
        <v>41789</v>
      </c>
      <c r="M106" t="s">
        <v>72</v>
      </c>
      <c r="N106" t="s">
        <v>106</v>
      </c>
      <c r="O106" t="s">
        <v>101</v>
      </c>
      <c r="P106" t="s">
        <v>102</v>
      </c>
      <c r="Q106" t="s">
        <v>103</v>
      </c>
      <c r="R106">
        <v>99999</v>
      </c>
      <c r="S106" t="s">
        <v>40</v>
      </c>
      <c r="T106" t="s">
        <v>58</v>
      </c>
      <c r="U106" t="s">
        <v>90</v>
      </c>
      <c r="V106" t="s">
        <v>91</v>
      </c>
      <c r="W106" s="5">
        <v>9.65</v>
      </c>
      <c r="X106">
        <v>74</v>
      </c>
      <c r="Y106" s="6">
        <v>714.1</v>
      </c>
      <c r="Z106" s="5">
        <v>67.839500000000001</v>
      </c>
    </row>
    <row r="107" spans="1:26" hidden="1">
      <c r="A107">
        <v>1115</v>
      </c>
      <c r="B107" s="4">
        <v>41787</v>
      </c>
      <c r="C107">
        <v>28</v>
      </c>
      <c r="D107" t="s">
        <v>100</v>
      </c>
      <c r="E107" t="s">
        <v>101</v>
      </c>
      <c r="F107" t="s">
        <v>102</v>
      </c>
      <c r="G107" t="s">
        <v>103</v>
      </c>
      <c r="H107">
        <v>99999</v>
      </c>
      <c r="I107" t="s">
        <v>40</v>
      </c>
      <c r="J107" t="s">
        <v>104</v>
      </c>
      <c r="K107" t="s">
        <v>105</v>
      </c>
      <c r="L107" s="4">
        <v>41789</v>
      </c>
      <c r="M107" t="s">
        <v>72</v>
      </c>
      <c r="N107" t="s">
        <v>106</v>
      </c>
      <c r="O107" t="s">
        <v>101</v>
      </c>
      <c r="P107" t="s">
        <v>102</v>
      </c>
      <c r="Q107" t="s">
        <v>103</v>
      </c>
      <c r="R107">
        <v>99999</v>
      </c>
      <c r="S107" t="s">
        <v>40</v>
      </c>
      <c r="T107" t="s">
        <v>58</v>
      </c>
      <c r="U107" t="s">
        <v>133</v>
      </c>
      <c r="V107" t="s">
        <v>134</v>
      </c>
      <c r="W107" s="5">
        <v>18.399999999999999</v>
      </c>
      <c r="X107">
        <v>25</v>
      </c>
      <c r="Y107" s="6">
        <v>460</v>
      </c>
      <c r="Z107" s="5">
        <v>46.46</v>
      </c>
    </row>
    <row r="108" spans="1:26" hidden="1">
      <c r="A108">
        <v>1116</v>
      </c>
      <c r="B108" s="4">
        <v>41768</v>
      </c>
      <c r="C108">
        <v>9</v>
      </c>
      <c r="D108" t="s">
        <v>135</v>
      </c>
      <c r="E108" t="s">
        <v>136</v>
      </c>
      <c r="F108" t="s">
        <v>137</v>
      </c>
      <c r="G108" t="s">
        <v>138</v>
      </c>
      <c r="H108">
        <v>99999</v>
      </c>
      <c r="I108" t="s">
        <v>40</v>
      </c>
      <c r="J108" t="s">
        <v>139</v>
      </c>
      <c r="K108" t="s">
        <v>42</v>
      </c>
      <c r="L108" s="4">
        <v>41770</v>
      </c>
      <c r="M108" t="s">
        <v>56</v>
      </c>
      <c r="N108" t="s">
        <v>140</v>
      </c>
      <c r="O108" t="s">
        <v>136</v>
      </c>
      <c r="P108" t="s">
        <v>137</v>
      </c>
      <c r="Q108" t="s">
        <v>138</v>
      </c>
      <c r="R108">
        <v>99999</v>
      </c>
      <c r="S108" t="s">
        <v>40</v>
      </c>
      <c r="T108" t="s">
        <v>45</v>
      </c>
      <c r="U108" t="s">
        <v>141</v>
      </c>
      <c r="V108" t="s">
        <v>142</v>
      </c>
      <c r="W108" s="5">
        <v>19.5</v>
      </c>
      <c r="X108">
        <v>82</v>
      </c>
      <c r="Y108" s="6">
        <v>1599</v>
      </c>
      <c r="Z108" s="5">
        <v>153.50399999999999</v>
      </c>
    </row>
    <row r="109" spans="1:26" hidden="1">
      <c r="A109">
        <v>1117</v>
      </c>
      <c r="B109" s="4">
        <v>41768</v>
      </c>
      <c r="C109">
        <v>9</v>
      </c>
      <c r="D109" t="s">
        <v>135</v>
      </c>
      <c r="E109" t="s">
        <v>136</v>
      </c>
      <c r="F109" t="s">
        <v>137</v>
      </c>
      <c r="G109" t="s">
        <v>138</v>
      </c>
      <c r="H109">
        <v>99999</v>
      </c>
      <c r="I109" t="s">
        <v>40</v>
      </c>
      <c r="J109" t="s">
        <v>139</v>
      </c>
      <c r="K109" t="s">
        <v>42</v>
      </c>
      <c r="L109" s="4">
        <v>41770</v>
      </c>
      <c r="M109" t="s">
        <v>56</v>
      </c>
      <c r="N109" t="s">
        <v>140</v>
      </c>
      <c r="O109" t="s">
        <v>136</v>
      </c>
      <c r="P109" t="s">
        <v>137</v>
      </c>
      <c r="Q109" t="s">
        <v>138</v>
      </c>
      <c r="R109">
        <v>99999</v>
      </c>
      <c r="S109" t="s">
        <v>40</v>
      </c>
      <c r="T109" t="s">
        <v>45</v>
      </c>
      <c r="U109" t="s">
        <v>143</v>
      </c>
      <c r="V109" t="s">
        <v>144</v>
      </c>
      <c r="W109" s="5">
        <v>34.799999999999997</v>
      </c>
      <c r="X109">
        <v>37</v>
      </c>
      <c r="Y109" s="6">
        <v>1287.5999999999999</v>
      </c>
      <c r="Z109" s="5">
        <v>132.62280000000001</v>
      </c>
    </row>
    <row r="110" spans="1:26" hidden="1">
      <c r="A110">
        <v>1118</v>
      </c>
      <c r="B110" s="4">
        <v>41765</v>
      </c>
      <c r="C110">
        <v>6</v>
      </c>
      <c r="D110" t="s">
        <v>92</v>
      </c>
      <c r="E110" t="s">
        <v>93</v>
      </c>
      <c r="F110" t="s">
        <v>94</v>
      </c>
      <c r="G110" t="s">
        <v>95</v>
      </c>
      <c r="H110">
        <v>99999</v>
      </c>
      <c r="I110" t="s">
        <v>40</v>
      </c>
      <c r="J110" t="s">
        <v>96</v>
      </c>
      <c r="K110" t="s">
        <v>71</v>
      </c>
      <c r="L110">
        <v>41767</v>
      </c>
      <c r="M110" t="s">
        <v>43</v>
      </c>
      <c r="N110" t="s">
        <v>97</v>
      </c>
      <c r="O110" t="s">
        <v>93</v>
      </c>
      <c r="P110" t="s">
        <v>94</v>
      </c>
      <c r="Q110" t="s">
        <v>95</v>
      </c>
      <c r="R110">
        <v>99999</v>
      </c>
      <c r="S110" t="s">
        <v>40</v>
      </c>
      <c r="T110" t="s">
        <v>58</v>
      </c>
      <c r="U110" t="s">
        <v>46</v>
      </c>
      <c r="V110" t="s">
        <v>47</v>
      </c>
      <c r="W110" s="5">
        <v>14</v>
      </c>
      <c r="X110">
        <v>84</v>
      </c>
      <c r="Y110" s="6">
        <v>1176</v>
      </c>
      <c r="Z110" s="5">
        <v>112.896</v>
      </c>
    </row>
    <row r="111" spans="1:26" hidden="1">
      <c r="A111">
        <v>1119</v>
      </c>
      <c r="B111" s="4">
        <v>41767</v>
      </c>
      <c r="C111">
        <v>8</v>
      </c>
      <c r="D111" t="s">
        <v>66</v>
      </c>
      <c r="E111" t="s">
        <v>67</v>
      </c>
      <c r="F111" t="s">
        <v>68</v>
      </c>
      <c r="G111" t="s">
        <v>69</v>
      </c>
      <c r="H111">
        <v>99999</v>
      </c>
      <c r="I111" t="s">
        <v>40</v>
      </c>
      <c r="J111" t="s">
        <v>70</v>
      </c>
      <c r="K111" t="s">
        <v>71</v>
      </c>
      <c r="L111">
        <v>41769</v>
      </c>
      <c r="M111" t="s">
        <v>43</v>
      </c>
      <c r="N111" t="s">
        <v>73</v>
      </c>
      <c r="O111" t="s">
        <v>67</v>
      </c>
      <c r="P111" t="s">
        <v>68</v>
      </c>
      <c r="Q111" t="s">
        <v>69</v>
      </c>
      <c r="R111">
        <v>99999</v>
      </c>
      <c r="S111" t="s">
        <v>40</v>
      </c>
      <c r="T111" t="s">
        <v>45</v>
      </c>
      <c r="U111" t="s">
        <v>98</v>
      </c>
      <c r="V111" t="s">
        <v>99</v>
      </c>
      <c r="W111" s="5">
        <v>40</v>
      </c>
      <c r="X111">
        <v>73</v>
      </c>
      <c r="Y111" s="6">
        <v>2920</v>
      </c>
      <c r="Z111" s="5">
        <v>283.24</v>
      </c>
    </row>
    <row r="112" spans="1:26">
      <c r="A112">
        <v>1120</v>
      </c>
      <c r="B112" s="4">
        <v>41767</v>
      </c>
      <c r="C112">
        <v>8</v>
      </c>
      <c r="D112" t="s">
        <v>66</v>
      </c>
      <c r="E112" t="s">
        <v>67</v>
      </c>
      <c r="F112" t="s">
        <v>68</v>
      </c>
      <c r="G112" t="s">
        <v>69</v>
      </c>
      <c r="H112">
        <v>99999</v>
      </c>
      <c r="I112" t="s">
        <v>40</v>
      </c>
      <c r="J112" t="s">
        <v>70</v>
      </c>
      <c r="K112" t="s">
        <v>71</v>
      </c>
      <c r="L112">
        <v>41769</v>
      </c>
      <c r="M112" t="s">
        <v>43</v>
      </c>
      <c r="N112" t="s">
        <v>73</v>
      </c>
      <c r="O112" t="s">
        <v>67</v>
      </c>
      <c r="P112" t="s">
        <v>68</v>
      </c>
      <c r="Q112" t="s">
        <v>69</v>
      </c>
      <c r="R112">
        <v>99999</v>
      </c>
      <c r="S112" t="s">
        <v>40</v>
      </c>
      <c r="T112" t="s">
        <v>45</v>
      </c>
      <c r="U112" t="s">
        <v>74</v>
      </c>
      <c r="V112" t="s">
        <v>75</v>
      </c>
      <c r="W112" s="5">
        <v>9.1999999999999993</v>
      </c>
      <c r="X112">
        <v>51</v>
      </c>
      <c r="Y112" s="6">
        <v>469.2</v>
      </c>
      <c r="Z112" s="5">
        <v>44.573999999999998</v>
      </c>
    </row>
    <row r="113" spans="1:26">
      <c r="A113">
        <v>1121</v>
      </c>
      <c r="B113" s="4">
        <v>41784</v>
      </c>
      <c r="C113">
        <v>25</v>
      </c>
      <c r="D113" t="s">
        <v>148</v>
      </c>
      <c r="E113" t="s">
        <v>149</v>
      </c>
      <c r="F113" t="s">
        <v>109</v>
      </c>
      <c r="G113" t="s">
        <v>110</v>
      </c>
      <c r="H113">
        <v>99999</v>
      </c>
      <c r="I113" t="s">
        <v>40</v>
      </c>
      <c r="J113" t="s">
        <v>111</v>
      </c>
      <c r="K113" t="s">
        <v>55</v>
      </c>
      <c r="L113">
        <v>41786</v>
      </c>
      <c r="M113" t="s">
        <v>56</v>
      </c>
      <c r="N113" t="s">
        <v>150</v>
      </c>
      <c r="O113" t="s">
        <v>149</v>
      </c>
      <c r="P113" t="s">
        <v>109</v>
      </c>
      <c r="Q113" t="s">
        <v>110</v>
      </c>
      <c r="R113">
        <v>99999</v>
      </c>
      <c r="S113" t="s">
        <v>40</v>
      </c>
      <c r="T113" t="s">
        <v>89</v>
      </c>
      <c r="U113" t="s">
        <v>157</v>
      </c>
      <c r="V113" t="s">
        <v>75</v>
      </c>
      <c r="W113" s="5">
        <v>10</v>
      </c>
      <c r="X113">
        <v>66</v>
      </c>
      <c r="Y113" s="6">
        <v>660</v>
      </c>
      <c r="Z113" s="5">
        <v>68.64</v>
      </c>
    </row>
    <row r="114" spans="1:26" hidden="1">
      <c r="A114">
        <v>1122</v>
      </c>
      <c r="B114" s="4">
        <v>41785</v>
      </c>
      <c r="C114">
        <v>26</v>
      </c>
      <c r="D114" t="s">
        <v>151</v>
      </c>
      <c r="E114" t="s">
        <v>152</v>
      </c>
      <c r="F114" t="s">
        <v>125</v>
      </c>
      <c r="G114" t="s">
        <v>126</v>
      </c>
      <c r="H114">
        <v>99999</v>
      </c>
      <c r="I114" t="s">
        <v>40</v>
      </c>
      <c r="J114" t="s">
        <v>104</v>
      </c>
      <c r="K114" t="s">
        <v>105</v>
      </c>
      <c r="L114">
        <v>41787</v>
      </c>
      <c r="M114" t="s">
        <v>72</v>
      </c>
      <c r="N114" t="s">
        <v>153</v>
      </c>
      <c r="O114" t="s">
        <v>152</v>
      </c>
      <c r="P114" t="s">
        <v>125</v>
      </c>
      <c r="Q114" t="s">
        <v>126</v>
      </c>
      <c r="R114">
        <v>99999</v>
      </c>
      <c r="S114" t="s">
        <v>40</v>
      </c>
      <c r="T114" t="s">
        <v>58</v>
      </c>
      <c r="U114" t="s">
        <v>158</v>
      </c>
      <c r="V114" t="s">
        <v>159</v>
      </c>
      <c r="W114" s="5">
        <v>21.35</v>
      </c>
      <c r="X114">
        <v>36</v>
      </c>
      <c r="Y114" s="6">
        <v>768.6</v>
      </c>
      <c r="Z114" s="5">
        <v>74.554199999999994</v>
      </c>
    </row>
    <row r="115" spans="1:26" hidden="1">
      <c r="A115">
        <v>1123</v>
      </c>
      <c r="B115" s="4">
        <v>41785</v>
      </c>
      <c r="C115">
        <v>26</v>
      </c>
      <c r="D115" t="s">
        <v>151</v>
      </c>
      <c r="E115" t="s">
        <v>152</v>
      </c>
      <c r="F115" t="s">
        <v>125</v>
      </c>
      <c r="G115" t="s">
        <v>126</v>
      </c>
      <c r="H115">
        <v>99999</v>
      </c>
      <c r="I115" t="s">
        <v>40</v>
      </c>
      <c r="J115" t="s">
        <v>104</v>
      </c>
      <c r="K115" t="s">
        <v>105</v>
      </c>
      <c r="L115" s="4">
        <v>41787</v>
      </c>
      <c r="M115" t="s">
        <v>72</v>
      </c>
      <c r="N115" t="s">
        <v>153</v>
      </c>
      <c r="O115" t="s">
        <v>152</v>
      </c>
      <c r="P115" t="s">
        <v>125</v>
      </c>
      <c r="Q115" t="s">
        <v>126</v>
      </c>
      <c r="R115">
        <v>99999</v>
      </c>
      <c r="S115" t="s">
        <v>40</v>
      </c>
      <c r="T115" t="s">
        <v>58</v>
      </c>
      <c r="U115" t="s">
        <v>90</v>
      </c>
      <c r="V115" t="s">
        <v>91</v>
      </c>
      <c r="W115" s="5">
        <v>9.65</v>
      </c>
      <c r="X115">
        <v>87</v>
      </c>
      <c r="Y115" s="6">
        <v>839.55</v>
      </c>
      <c r="Z115" s="5">
        <v>87.313199999999995</v>
      </c>
    </row>
    <row r="116" spans="1:26" hidden="1">
      <c r="A116">
        <v>1124</v>
      </c>
      <c r="B116" s="4">
        <v>41785</v>
      </c>
      <c r="C116">
        <v>26</v>
      </c>
      <c r="D116" t="s">
        <v>151</v>
      </c>
      <c r="E116" t="s">
        <v>152</v>
      </c>
      <c r="F116" t="s">
        <v>125</v>
      </c>
      <c r="G116" t="s">
        <v>126</v>
      </c>
      <c r="H116">
        <v>99999</v>
      </c>
      <c r="I116" t="s">
        <v>40</v>
      </c>
      <c r="J116" t="s">
        <v>104</v>
      </c>
      <c r="K116" t="s">
        <v>105</v>
      </c>
      <c r="L116" s="4">
        <v>41787</v>
      </c>
      <c r="M116" t="s">
        <v>72</v>
      </c>
      <c r="N116" t="s">
        <v>153</v>
      </c>
      <c r="O116" t="s">
        <v>152</v>
      </c>
      <c r="P116" t="s">
        <v>125</v>
      </c>
      <c r="Q116" t="s">
        <v>126</v>
      </c>
      <c r="R116">
        <v>99999</v>
      </c>
      <c r="S116" t="s">
        <v>40</v>
      </c>
      <c r="T116" t="s">
        <v>58</v>
      </c>
      <c r="U116" t="s">
        <v>133</v>
      </c>
      <c r="V116" t="s">
        <v>134</v>
      </c>
      <c r="W116" s="5">
        <v>18.399999999999999</v>
      </c>
      <c r="X116">
        <v>64</v>
      </c>
      <c r="Y116" s="6">
        <v>1177.5999999999999</v>
      </c>
      <c r="Z116" s="5">
        <v>115.40479999999999</v>
      </c>
    </row>
    <row r="117" spans="1:26" hidden="1">
      <c r="A117">
        <v>1125</v>
      </c>
      <c r="B117" s="4">
        <v>41788</v>
      </c>
      <c r="C117">
        <v>29</v>
      </c>
      <c r="D117" t="s">
        <v>76</v>
      </c>
      <c r="E117" t="s">
        <v>77</v>
      </c>
      <c r="F117" t="s">
        <v>78</v>
      </c>
      <c r="G117" t="s">
        <v>79</v>
      </c>
      <c r="H117">
        <v>99999</v>
      </c>
      <c r="I117" t="s">
        <v>40</v>
      </c>
      <c r="J117" t="s">
        <v>80</v>
      </c>
      <c r="K117" t="s">
        <v>42</v>
      </c>
      <c r="L117" s="4">
        <v>41790</v>
      </c>
      <c r="M117" t="s">
        <v>43</v>
      </c>
      <c r="N117" t="s">
        <v>81</v>
      </c>
      <c r="O117" t="s">
        <v>77</v>
      </c>
      <c r="P117" t="s">
        <v>78</v>
      </c>
      <c r="Q117" t="s">
        <v>79</v>
      </c>
      <c r="R117">
        <v>99999</v>
      </c>
      <c r="S117" t="s">
        <v>40</v>
      </c>
      <c r="T117" t="s">
        <v>45</v>
      </c>
      <c r="U117" t="s">
        <v>46</v>
      </c>
      <c r="V117" t="s">
        <v>47</v>
      </c>
      <c r="W117" s="5">
        <v>14</v>
      </c>
      <c r="X117">
        <v>21</v>
      </c>
      <c r="Y117" s="6">
        <v>294</v>
      </c>
      <c r="Z117" s="5">
        <v>30.87</v>
      </c>
    </row>
    <row r="118" spans="1:26" hidden="1">
      <c r="A118">
        <v>1126</v>
      </c>
      <c r="B118" s="4">
        <v>41765</v>
      </c>
      <c r="C118">
        <v>6</v>
      </c>
      <c r="D118" t="s">
        <v>92</v>
      </c>
      <c r="E118" t="s">
        <v>93</v>
      </c>
      <c r="F118" t="s">
        <v>94</v>
      </c>
      <c r="G118" t="s">
        <v>95</v>
      </c>
      <c r="H118">
        <v>99999</v>
      </c>
      <c r="I118" t="s">
        <v>40</v>
      </c>
      <c r="J118" t="s">
        <v>96</v>
      </c>
      <c r="K118" t="s">
        <v>71</v>
      </c>
      <c r="L118" s="4">
        <v>41767</v>
      </c>
      <c r="M118" t="s">
        <v>72</v>
      </c>
      <c r="N118" t="s">
        <v>97</v>
      </c>
      <c r="O118" t="s">
        <v>93</v>
      </c>
      <c r="P118" t="s">
        <v>94</v>
      </c>
      <c r="Q118" t="s">
        <v>95</v>
      </c>
      <c r="R118">
        <v>99999</v>
      </c>
      <c r="S118" t="s">
        <v>40</v>
      </c>
      <c r="T118" t="s">
        <v>45</v>
      </c>
      <c r="U118" t="s">
        <v>82</v>
      </c>
      <c r="V118" t="s">
        <v>83</v>
      </c>
      <c r="W118" s="5">
        <v>12.75</v>
      </c>
      <c r="X118">
        <v>19</v>
      </c>
      <c r="Y118" s="6">
        <v>242.25</v>
      </c>
      <c r="Z118" s="5">
        <v>24.46725</v>
      </c>
    </row>
    <row r="119" spans="1:26" hidden="1">
      <c r="A119">
        <v>1128</v>
      </c>
      <c r="B119" s="4">
        <v>41763</v>
      </c>
      <c r="C119">
        <v>4</v>
      </c>
      <c r="D119" t="s">
        <v>50</v>
      </c>
      <c r="E119" t="s">
        <v>51</v>
      </c>
      <c r="F119" t="s">
        <v>52</v>
      </c>
      <c r="G119" t="s">
        <v>53</v>
      </c>
      <c r="H119">
        <v>99999</v>
      </c>
      <c r="I119" t="s">
        <v>40</v>
      </c>
      <c r="J119" t="s">
        <v>54</v>
      </c>
      <c r="K119" t="s">
        <v>55</v>
      </c>
      <c r="L119" s="4">
        <v>41765</v>
      </c>
      <c r="M119" t="s">
        <v>56</v>
      </c>
      <c r="N119" t="s">
        <v>57</v>
      </c>
      <c r="O119" t="s">
        <v>51</v>
      </c>
      <c r="P119" t="s">
        <v>52</v>
      </c>
      <c r="Q119" t="s">
        <v>53</v>
      </c>
      <c r="R119">
        <v>99999</v>
      </c>
      <c r="S119" t="s">
        <v>40</v>
      </c>
      <c r="T119" t="s">
        <v>58</v>
      </c>
      <c r="U119" t="s">
        <v>160</v>
      </c>
      <c r="V119" t="s">
        <v>120</v>
      </c>
      <c r="W119" s="5">
        <v>81</v>
      </c>
      <c r="X119">
        <v>23</v>
      </c>
      <c r="Y119" s="6">
        <v>1863</v>
      </c>
      <c r="Z119" s="5">
        <v>195.61500000000001</v>
      </c>
    </row>
    <row r="120" spans="1:26" hidden="1">
      <c r="A120">
        <v>1129</v>
      </c>
      <c r="B120" s="4">
        <v>41763</v>
      </c>
      <c r="C120">
        <v>4</v>
      </c>
      <c r="D120" t="s">
        <v>50</v>
      </c>
      <c r="E120" t="s">
        <v>51</v>
      </c>
      <c r="F120" t="s">
        <v>52</v>
      </c>
      <c r="G120" t="s">
        <v>53</v>
      </c>
      <c r="H120">
        <v>99999</v>
      </c>
      <c r="I120" t="s">
        <v>40</v>
      </c>
      <c r="J120" t="s">
        <v>54</v>
      </c>
      <c r="K120" t="s">
        <v>55</v>
      </c>
      <c r="L120" s="4">
        <v>41765</v>
      </c>
      <c r="M120" t="s">
        <v>56</v>
      </c>
      <c r="N120" t="s">
        <v>57</v>
      </c>
      <c r="O120" t="s">
        <v>51</v>
      </c>
      <c r="P120" t="s">
        <v>52</v>
      </c>
      <c r="Q120" t="s">
        <v>53</v>
      </c>
      <c r="R120">
        <v>99999</v>
      </c>
      <c r="S120" t="s">
        <v>40</v>
      </c>
      <c r="T120" t="s">
        <v>58</v>
      </c>
      <c r="U120" t="s">
        <v>161</v>
      </c>
      <c r="V120" t="s">
        <v>162</v>
      </c>
      <c r="W120" s="5">
        <v>7</v>
      </c>
      <c r="X120">
        <v>72</v>
      </c>
      <c r="Y120" s="6">
        <v>504</v>
      </c>
      <c r="Z120" s="5">
        <v>51.911999999999999</v>
      </c>
    </row>
    <row r="121" spans="1:26" hidden="1">
      <c r="A121">
        <v>1131</v>
      </c>
      <c r="B121" s="4">
        <v>41767</v>
      </c>
      <c r="C121">
        <v>8</v>
      </c>
      <c r="D121" t="s">
        <v>66</v>
      </c>
      <c r="E121" t="s">
        <v>67</v>
      </c>
      <c r="F121" t="s">
        <v>68</v>
      </c>
      <c r="G121" t="s">
        <v>69</v>
      </c>
      <c r="H121">
        <v>99999</v>
      </c>
      <c r="I121" t="s">
        <v>40</v>
      </c>
      <c r="J121" t="s">
        <v>70</v>
      </c>
      <c r="K121" t="s">
        <v>71</v>
      </c>
      <c r="L121" s="4">
        <v>41769</v>
      </c>
      <c r="M121" t="s">
        <v>72</v>
      </c>
      <c r="N121" t="s">
        <v>73</v>
      </c>
      <c r="O121" t="s">
        <v>67</v>
      </c>
      <c r="P121" t="s">
        <v>68</v>
      </c>
      <c r="Q121" t="s">
        <v>69</v>
      </c>
      <c r="R121">
        <v>99999</v>
      </c>
      <c r="S121" t="s">
        <v>40</v>
      </c>
      <c r="T121" t="s">
        <v>58</v>
      </c>
      <c r="U121" t="s">
        <v>143</v>
      </c>
      <c r="V121" t="s">
        <v>144</v>
      </c>
      <c r="W121" s="5">
        <v>34.799999999999997</v>
      </c>
      <c r="X121">
        <v>22</v>
      </c>
      <c r="Y121" s="6">
        <v>765.6</v>
      </c>
      <c r="Z121" s="5">
        <v>75.028800000000004</v>
      </c>
    </row>
    <row r="122" spans="1:26" hidden="1">
      <c r="A122">
        <v>1134</v>
      </c>
      <c r="B122" s="4">
        <v>41762</v>
      </c>
      <c r="C122">
        <v>3</v>
      </c>
      <c r="D122" t="s">
        <v>84</v>
      </c>
      <c r="E122" t="s">
        <v>85</v>
      </c>
      <c r="F122" t="s">
        <v>86</v>
      </c>
      <c r="G122" t="s">
        <v>87</v>
      </c>
      <c r="H122">
        <v>99999</v>
      </c>
      <c r="I122" t="s">
        <v>40</v>
      </c>
      <c r="J122" t="s">
        <v>41</v>
      </c>
      <c r="K122" t="s">
        <v>42</v>
      </c>
      <c r="L122" s="4">
        <v>41764</v>
      </c>
      <c r="M122" t="s">
        <v>43</v>
      </c>
      <c r="N122" t="s">
        <v>88</v>
      </c>
      <c r="O122" t="s">
        <v>85</v>
      </c>
      <c r="P122" t="s">
        <v>86</v>
      </c>
      <c r="Q122" t="s">
        <v>87</v>
      </c>
      <c r="R122">
        <v>99999</v>
      </c>
      <c r="S122" t="s">
        <v>40</v>
      </c>
      <c r="T122" t="s">
        <v>89</v>
      </c>
      <c r="U122" t="s">
        <v>145</v>
      </c>
      <c r="V122" t="s">
        <v>122</v>
      </c>
      <c r="W122" s="5">
        <v>10</v>
      </c>
      <c r="X122">
        <v>82</v>
      </c>
      <c r="Y122" s="6">
        <v>820</v>
      </c>
      <c r="Z122" s="5">
        <v>85.28</v>
      </c>
    </row>
    <row r="123" spans="1:26" hidden="1">
      <c r="A123">
        <v>1135</v>
      </c>
      <c r="B123" s="4">
        <v>41762</v>
      </c>
      <c r="C123">
        <v>3</v>
      </c>
      <c r="D123" t="s">
        <v>84</v>
      </c>
      <c r="E123" t="s">
        <v>85</v>
      </c>
      <c r="F123" t="s">
        <v>86</v>
      </c>
      <c r="G123" t="s">
        <v>87</v>
      </c>
      <c r="H123">
        <v>99999</v>
      </c>
      <c r="I123" t="s">
        <v>40</v>
      </c>
      <c r="J123" t="s">
        <v>41</v>
      </c>
      <c r="K123" t="s">
        <v>42</v>
      </c>
      <c r="L123" s="4">
        <v>41764</v>
      </c>
      <c r="M123" t="s">
        <v>43</v>
      </c>
      <c r="N123" t="s">
        <v>88</v>
      </c>
      <c r="O123" t="s">
        <v>85</v>
      </c>
      <c r="P123" t="s">
        <v>86</v>
      </c>
      <c r="Q123" t="s">
        <v>87</v>
      </c>
      <c r="R123">
        <v>99999</v>
      </c>
      <c r="S123" t="s">
        <v>40</v>
      </c>
      <c r="T123" t="s">
        <v>89</v>
      </c>
      <c r="U123" t="s">
        <v>98</v>
      </c>
      <c r="V123" t="s">
        <v>99</v>
      </c>
      <c r="W123" s="5">
        <v>40</v>
      </c>
      <c r="X123">
        <v>98</v>
      </c>
      <c r="Y123" s="6">
        <v>3920</v>
      </c>
      <c r="Z123" s="5">
        <v>411.6</v>
      </c>
    </row>
    <row r="124" spans="1:26" hidden="1">
      <c r="A124">
        <v>1138</v>
      </c>
      <c r="B124" s="4">
        <v>41797</v>
      </c>
      <c r="C124">
        <v>7</v>
      </c>
      <c r="D124" t="s">
        <v>114</v>
      </c>
      <c r="E124" t="s">
        <v>115</v>
      </c>
      <c r="F124" t="s">
        <v>116</v>
      </c>
      <c r="G124" t="s">
        <v>117</v>
      </c>
      <c r="H124">
        <v>99999</v>
      </c>
      <c r="I124" t="s">
        <v>40</v>
      </c>
      <c r="J124" t="s">
        <v>70</v>
      </c>
      <c r="K124" t="s">
        <v>71</v>
      </c>
      <c r="L124" s="4"/>
      <c r="N124" t="s">
        <v>118</v>
      </c>
      <c r="O124" t="s">
        <v>115</v>
      </c>
      <c r="P124" t="s">
        <v>116</v>
      </c>
      <c r="Q124" t="s">
        <v>117</v>
      </c>
      <c r="R124">
        <v>99999</v>
      </c>
      <c r="S124" t="s">
        <v>40</v>
      </c>
      <c r="U124" t="s">
        <v>65</v>
      </c>
      <c r="V124" t="s">
        <v>47</v>
      </c>
      <c r="W124" s="5">
        <v>46</v>
      </c>
      <c r="X124">
        <v>71</v>
      </c>
      <c r="Y124" s="6">
        <v>3266</v>
      </c>
      <c r="Z124" s="5">
        <v>310.27</v>
      </c>
    </row>
    <row r="125" spans="1:26" hidden="1">
      <c r="A125">
        <v>1139</v>
      </c>
      <c r="B125" s="4">
        <v>41800</v>
      </c>
      <c r="C125">
        <v>10</v>
      </c>
      <c r="D125" t="s">
        <v>107</v>
      </c>
      <c r="E125" t="s">
        <v>108</v>
      </c>
      <c r="F125" t="s">
        <v>109</v>
      </c>
      <c r="G125" t="s">
        <v>110</v>
      </c>
      <c r="H125">
        <v>99999</v>
      </c>
      <c r="I125" t="s">
        <v>40</v>
      </c>
      <c r="J125" t="s">
        <v>111</v>
      </c>
      <c r="K125" t="s">
        <v>55</v>
      </c>
      <c r="L125" s="4">
        <v>41802</v>
      </c>
      <c r="M125" t="s">
        <v>56</v>
      </c>
      <c r="N125" t="s">
        <v>112</v>
      </c>
      <c r="O125" t="s">
        <v>108</v>
      </c>
      <c r="P125" t="s">
        <v>109</v>
      </c>
      <c r="Q125" t="s">
        <v>110</v>
      </c>
      <c r="R125">
        <v>99999</v>
      </c>
      <c r="S125" t="s">
        <v>40</v>
      </c>
      <c r="U125" t="s">
        <v>119</v>
      </c>
      <c r="V125" t="s">
        <v>120</v>
      </c>
      <c r="W125" s="5">
        <v>25</v>
      </c>
      <c r="X125">
        <v>40</v>
      </c>
      <c r="Y125" s="6">
        <v>1000</v>
      </c>
      <c r="Z125" s="5">
        <v>105</v>
      </c>
    </row>
    <row r="126" spans="1:26" hidden="1">
      <c r="A126">
        <v>1140</v>
      </c>
      <c r="B126" s="4">
        <v>41800</v>
      </c>
      <c r="C126">
        <v>10</v>
      </c>
      <c r="D126" t="s">
        <v>107</v>
      </c>
      <c r="E126" t="s">
        <v>108</v>
      </c>
      <c r="F126" t="s">
        <v>109</v>
      </c>
      <c r="G126" t="s">
        <v>110</v>
      </c>
      <c r="H126">
        <v>99999</v>
      </c>
      <c r="I126" t="s">
        <v>40</v>
      </c>
      <c r="J126" t="s">
        <v>111</v>
      </c>
      <c r="K126" t="s">
        <v>55</v>
      </c>
      <c r="L126" s="4">
        <v>41802</v>
      </c>
      <c r="M126" t="s">
        <v>56</v>
      </c>
      <c r="N126" t="s">
        <v>112</v>
      </c>
      <c r="O126" t="s">
        <v>108</v>
      </c>
      <c r="P126" t="s">
        <v>109</v>
      </c>
      <c r="Q126" t="s">
        <v>110</v>
      </c>
      <c r="R126">
        <v>99999</v>
      </c>
      <c r="S126" t="s">
        <v>40</v>
      </c>
      <c r="U126" t="s">
        <v>121</v>
      </c>
      <c r="V126" t="s">
        <v>122</v>
      </c>
      <c r="W126" s="5">
        <v>22</v>
      </c>
      <c r="X126">
        <v>80</v>
      </c>
      <c r="Y126" s="6">
        <v>1760</v>
      </c>
      <c r="Z126" s="5">
        <v>172.48</v>
      </c>
    </row>
    <row r="127" spans="1:26">
      <c r="A127">
        <v>1141</v>
      </c>
      <c r="B127" s="4">
        <v>41800</v>
      </c>
      <c r="C127">
        <v>10</v>
      </c>
      <c r="D127" t="s">
        <v>107</v>
      </c>
      <c r="E127" t="s">
        <v>108</v>
      </c>
      <c r="F127" t="s">
        <v>109</v>
      </c>
      <c r="G127" t="s">
        <v>110</v>
      </c>
      <c r="H127">
        <v>99999</v>
      </c>
      <c r="I127" t="s">
        <v>40</v>
      </c>
      <c r="J127" t="s">
        <v>111</v>
      </c>
      <c r="K127" t="s">
        <v>55</v>
      </c>
      <c r="L127" s="4">
        <v>41802</v>
      </c>
      <c r="M127" t="s">
        <v>56</v>
      </c>
      <c r="N127" t="s">
        <v>112</v>
      </c>
      <c r="O127" t="s">
        <v>108</v>
      </c>
      <c r="P127" t="s">
        <v>109</v>
      </c>
      <c r="Q127" t="s">
        <v>110</v>
      </c>
      <c r="R127">
        <v>99999</v>
      </c>
      <c r="S127" t="s">
        <v>40</v>
      </c>
      <c r="U127" t="s">
        <v>74</v>
      </c>
      <c r="V127" t="s">
        <v>75</v>
      </c>
      <c r="W127" s="5">
        <v>9.1999999999999993</v>
      </c>
      <c r="X127">
        <v>38</v>
      </c>
      <c r="Y127" s="6">
        <v>349.6</v>
      </c>
      <c r="Z127" s="5">
        <v>33.212000000000003</v>
      </c>
    </row>
    <row r="128" spans="1:26" hidden="1">
      <c r="A128">
        <v>1142</v>
      </c>
      <c r="B128" s="4">
        <v>41801</v>
      </c>
      <c r="C128">
        <v>11</v>
      </c>
      <c r="D128" t="s">
        <v>123</v>
      </c>
      <c r="E128" t="s">
        <v>124</v>
      </c>
      <c r="F128" t="s">
        <v>125</v>
      </c>
      <c r="G128" t="s">
        <v>126</v>
      </c>
      <c r="H128">
        <v>99999</v>
      </c>
      <c r="I128" t="s">
        <v>40</v>
      </c>
      <c r="J128" t="s">
        <v>104</v>
      </c>
      <c r="K128" t="s">
        <v>105</v>
      </c>
      <c r="L128" s="4"/>
      <c r="M128" t="s">
        <v>72</v>
      </c>
      <c r="N128" t="s">
        <v>127</v>
      </c>
      <c r="O128" t="s">
        <v>124</v>
      </c>
      <c r="P128" t="s">
        <v>125</v>
      </c>
      <c r="Q128" t="s">
        <v>126</v>
      </c>
      <c r="R128">
        <v>99999</v>
      </c>
      <c r="S128" t="s">
        <v>40</v>
      </c>
      <c r="U128" t="s">
        <v>48</v>
      </c>
      <c r="V128" t="s">
        <v>49</v>
      </c>
      <c r="W128">
        <v>3.5</v>
      </c>
      <c r="X128">
        <v>28</v>
      </c>
      <c r="Y128" s="6">
        <v>98</v>
      </c>
      <c r="Z128" s="5">
        <v>10.29</v>
      </c>
    </row>
    <row r="129" spans="1:26" hidden="1">
      <c r="A129">
        <v>1143</v>
      </c>
      <c r="B129" s="4">
        <v>41801</v>
      </c>
      <c r="C129">
        <v>11</v>
      </c>
      <c r="D129" t="s">
        <v>123</v>
      </c>
      <c r="E129" t="s">
        <v>124</v>
      </c>
      <c r="F129" t="s">
        <v>125</v>
      </c>
      <c r="G129" t="s">
        <v>126</v>
      </c>
      <c r="H129">
        <v>99999</v>
      </c>
      <c r="I129" t="s">
        <v>40</v>
      </c>
      <c r="J129" t="s">
        <v>104</v>
      </c>
      <c r="K129" t="s">
        <v>105</v>
      </c>
      <c r="L129" s="4"/>
      <c r="M129" t="s">
        <v>72</v>
      </c>
      <c r="N129" t="s">
        <v>127</v>
      </c>
      <c r="O129" t="s">
        <v>124</v>
      </c>
      <c r="P129" t="s">
        <v>125</v>
      </c>
      <c r="Q129" t="s">
        <v>126</v>
      </c>
      <c r="R129">
        <v>99999</v>
      </c>
      <c r="S129" t="s">
        <v>40</v>
      </c>
      <c r="U129" t="s">
        <v>113</v>
      </c>
      <c r="V129" t="s">
        <v>47</v>
      </c>
      <c r="W129">
        <v>2.99</v>
      </c>
      <c r="X129">
        <v>60</v>
      </c>
      <c r="Y129" s="6">
        <v>179.4</v>
      </c>
      <c r="Z129" s="5">
        <v>17.581199999999999</v>
      </c>
    </row>
    <row r="130" spans="1:26" hidden="1">
      <c r="A130">
        <v>1144</v>
      </c>
      <c r="B130" s="4">
        <v>41791</v>
      </c>
      <c r="C130">
        <v>1</v>
      </c>
      <c r="D130" t="s">
        <v>128</v>
      </c>
      <c r="E130" t="s">
        <v>129</v>
      </c>
      <c r="F130" t="s">
        <v>130</v>
      </c>
      <c r="G130" t="s">
        <v>131</v>
      </c>
      <c r="H130">
        <v>99999</v>
      </c>
      <c r="I130" t="s">
        <v>40</v>
      </c>
      <c r="J130" t="s">
        <v>70</v>
      </c>
      <c r="K130" t="s">
        <v>71</v>
      </c>
      <c r="L130" s="4"/>
      <c r="N130" t="s">
        <v>132</v>
      </c>
      <c r="O130" t="s">
        <v>129</v>
      </c>
      <c r="P130" t="s">
        <v>130</v>
      </c>
      <c r="Q130" t="s">
        <v>131</v>
      </c>
      <c r="R130">
        <v>99999</v>
      </c>
      <c r="S130" t="s">
        <v>40</v>
      </c>
      <c r="U130" t="s">
        <v>64</v>
      </c>
      <c r="V130" t="s">
        <v>47</v>
      </c>
      <c r="W130">
        <v>18</v>
      </c>
      <c r="X130">
        <v>33</v>
      </c>
      <c r="Y130" s="6">
        <v>594</v>
      </c>
      <c r="Z130" s="5">
        <v>58.212000000000003</v>
      </c>
    </row>
    <row r="131" spans="1:26" hidden="1">
      <c r="A131">
        <v>1145</v>
      </c>
      <c r="B131" s="4">
        <v>41791</v>
      </c>
      <c r="C131">
        <v>1</v>
      </c>
      <c r="D131" t="s">
        <v>128</v>
      </c>
      <c r="E131" t="s">
        <v>129</v>
      </c>
      <c r="F131" t="s">
        <v>130</v>
      </c>
      <c r="G131" t="s">
        <v>131</v>
      </c>
      <c r="H131">
        <v>99999</v>
      </c>
      <c r="I131" t="s">
        <v>40</v>
      </c>
      <c r="J131" t="s">
        <v>70</v>
      </c>
      <c r="K131" t="s">
        <v>71</v>
      </c>
      <c r="L131" s="4"/>
      <c r="N131" t="s">
        <v>132</v>
      </c>
      <c r="O131" t="s">
        <v>129</v>
      </c>
      <c r="P131" t="s">
        <v>130</v>
      </c>
      <c r="Q131" t="s">
        <v>131</v>
      </c>
      <c r="R131">
        <v>99999</v>
      </c>
      <c r="S131" t="s">
        <v>40</v>
      </c>
      <c r="U131" t="s">
        <v>65</v>
      </c>
      <c r="V131" t="s">
        <v>47</v>
      </c>
      <c r="W131">
        <v>46</v>
      </c>
      <c r="X131">
        <v>22</v>
      </c>
      <c r="Y131" s="6">
        <v>1012</v>
      </c>
      <c r="Z131" s="5">
        <v>101.2</v>
      </c>
    </row>
    <row r="132" spans="1:26" hidden="1">
      <c r="A132">
        <v>1146</v>
      </c>
      <c r="B132" s="4">
        <v>41791</v>
      </c>
      <c r="C132">
        <v>1</v>
      </c>
      <c r="D132" t="s">
        <v>128</v>
      </c>
      <c r="E132" t="s">
        <v>129</v>
      </c>
      <c r="F132" t="s">
        <v>130</v>
      </c>
      <c r="G132" t="s">
        <v>131</v>
      </c>
      <c r="H132">
        <v>99999</v>
      </c>
      <c r="I132" t="s">
        <v>40</v>
      </c>
      <c r="J132" t="s">
        <v>70</v>
      </c>
      <c r="K132" t="s">
        <v>71</v>
      </c>
      <c r="L132" s="4"/>
      <c r="N132" t="s">
        <v>132</v>
      </c>
      <c r="O132" t="s">
        <v>129</v>
      </c>
      <c r="P132" t="s">
        <v>130</v>
      </c>
      <c r="Q132" t="s">
        <v>131</v>
      </c>
      <c r="R132">
        <v>99999</v>
      </c>
      <c r="S132" t="s">
        <v>40</v>
      </c>
      <c r="U132" t="s">
        <v>113</v>
      </c>
      <c r="V132" t="s">
        <v>47</v>
      </c>
      <c r="W132">
        <v>2.99</v>
      </c>
      <c r="X132">
        <v>51</v>
      </c>
      <c r="Y132" s="6">
        <v>152.49</v>
      </c>
      <c r="Z132" s="5">
        <v>14.94402</v>
      </c>
    </row>
    <row r="133" spans="1:26" hidden="1">
      <c r="A133">
        <v>1147</v>
      </c>
      <c r="B133" s="4">
        <v>41818</v>
      </c>
      <c r="C133">
        <v>28</v>
      </c>
      <c r="D133" t="s">
        <v>100</v>
      </c>
      <c r="E133" t="s">
        <v>101</v>
      </c>
      <c r="F133" t="s">
        <v>102</v>
      </c>
      <c r="G133" t="s">
        <v>103</v>
      </c>
      <c r="H133">
        <v>99999</v>
      </c>
      <c r="I133" t="s">
        <v>40</v>
      </c>
      <c r="J133" t="s">
        <v>104</v>
      </c>
      <c r="K133" t="s">
        <v>105</v>
      </c>
      <c r="L133" s="4">
        <v>41820</v>
      </c>
      <c r="M133" t="s">
        <v>72</v>
      </c>
      <c r="N133" t="s">
        <v>106</v>
      </c>
      <c r="O133" t="s">
        <v>101</v>
      </c>
      <c r="P133" t="s">
        <v>102</v>
      </c>
      <c r="Q133" t="s">
        <v>103</v>
      </c>
      <c r="R133">
        <v>99999</v>
      </c>
      <c r="S133" t="s">
        <v>40</v>
      </c>
      <c r="T133" t="s">
        <v>58</v>
      </c>
      <c r="U133" t="s">
        <v>90</v>
      </c>
      <c r="V133" t="s">
        <v>91</v>
      </c>
      <c r="W133">
        <v>9.65</v>
      </c>
      <c r="X133">
        <v>60</v>
      </c>
      <c r="Y133" s="6">
        <v>579</v>
      </c>
      <c r="Z133" s="5">
        <v>57.320999999999998</v>
      </c>
    </row>
    <row r="134" spans="1:26" hidden="1">
      <c r="A134">
        <v>1148</v>
      </c>
      <c r="B134" s="4">
        <v>41818</v>
      </c>
      <c r="C134">
        <v>28</v>
      </c>
      <c r="D134" t="s">
        <v>100</v>
      </c>
      <c r="E134" t="s">
        <v>101</v>
      </c>
      <c r="F134" t="s">
        <v>102</v>
      </c>
      <c r="G134" t="s">
        <v>103</v>
      </c>
      <c r="H134">
        <v>99999</v>
      </c>
      <c r="I134" t="s">
        <v>40</v>
      </c>
      <c r="J134" t="s">
        <v>104</v>
      </c>
      <c r="K134" t="s">
        <v>105</v>
      </c>
      <c r="L134" s="4">
        <v>41820</v>
      </c>
      <c r="M134" t="s">
        <v>72</v>
      </c>
      <c r="N134" t="s">
        <v>106</v>
      </c>
      <c r="O134" t="s">
        <v>101</v>
      </c>
      <c r="P134" t="s">
        <v>102</v>
      </c>
      <c r="Q134" t="s">
        <v>103</v>
      </c>
      <c r="R134">
        <v>99999</v>
      </c>
      <c r="S134" t="s">
        <v>40</v>
      </c>
      <c r="T134" t="s">
        <v>58</v>
      </c>
      <c r="U134" t="s">
        <v>133</v>
      </c>
      <c r="V134" t="s">
        <v>134</v>
      </c>
      <c r="W134">
        <v>18.399999999999999</v>
      </c>
      <c r="X134">
        <v>98</v>
      </c>
      <c r="Y134" s="6">
        <v>1803.2</v>
      </c>
      <c r="Z134" s="5">
        <v>183.9264</v>
      </c>
    </row>
    <row r="135" spans="1:26" hidden="1">
      <c r="A135">
        <v>1149</v>
      </c>
      <c r="B135" s="4">
        <v>41799</v>
      </c>
      <c r="C135">
        <v>9</v>
      </c>
      <c r="D135" t="s">
        <v>135</v>
      </c>
      <c r="E135" t="s">
        <v>136</v>
      </c>
      <c r="F135" t="s">
        <v>137</v>
      </c>
      <c r="G135" t="s">
        <v>138</v>
      </c>
      <c r="H135">
        <v>99999</v>
      </c>
      <c r="I135" t="s">
        <v>40</v>
      </c>
      <c r="J135" t="s">
        <v>139</v>
      </c>
      <c r="K135" t="s">
        <v>42</v>
      </c>
      <c r="L135" s="4">
        <v>41801</v>
      </c>
      <c r="M135" t="s">
        <v>56</v>
      </c>
      <c r="N135" t="s">
        <v>140</v>
      </c>
      <c r="O135" t="s">
        <v>136</v>
      </c>
      <c r="P135" t="s">
        <v>137</v>
      </c>
      <c r="Q135" t="s">
        <v>138</v>
      </c>
      <c r="R135">
        <v>99999</v>
      </c>
      <c r="S135" t="s">
        <v>40</v>
      </c>
      <c r="T135" t="s">
        <v>45</v>
      </c>
      <c r="U135" t="s">
        <v>141</v>
      </c>
      <c r="V135" t="s">
        <v>142</v>
      </c>
      <c r="W135">
        <v>19.5</v>
      </c>
      <c r="X135">
        <v>27</v>
      </c>
      <c r="Y135" s="6">
        <v>526.5</v>
      </c>
      <c r="Z135" s="5">
        <v>51.070500000000003</v>
      </c>
    </row>
    <row r="136" spans="1:26" hidden="1">
      <c r="A136">
        <v>1150</v>
      </c>
      <c r="B136" s="4">
        <v>41799</v>
      </c>
      <c r="C136">
        <v>9</v>
      </c>
      <c r="D136" t="s">
        <v>135</v>
      </c>
      <c r="E136" t="s">
        <v>136</v>
      </c>
      <c r="F136" t="s">
        <v>137</v>
      </c>
      <c r="G136" t="s">
        <v>138</v>
      </c>
      <c r="H136">
        <v>99999</v>
      </c>
      <c r="I136" t="s">
        <v>40</v>
      </c>
      <c r="J136" t="s">
        <v>139</v>
      </c>
      <c r="K136" t="s">
        <v>42</v>
      </c>
      <c r="L136" s="4">
        <v>41801</v>
      </c>
      <c r="M136" t="s">
        <v>56</v>
      </c>
      <c r="N136" t="s">
        <v>140</v>
      </c>
      <c r="O136" t="s">
        <v>136</v>
      </c>
      <c r="P136" t="s">
        <v>137</v>
      </c>
      <c r="Q136" t="s">
        <v>138</v>
      </c>
      <c r="R136">
        <v>99999</v>
      </c>
      <c r="S136" t="s">
        <v>40</v>
      </c>
      <c r="T136" t="s">
        <v>45</v>
      </c>
      <c r="U136" t="s">
        <v>143</v>
      </c>
      <c r="V136" t="s">
        <v>144</v>
      </c>
      <c r="W136">
        <v>34.799999999999997</v>
      </c>
      <c r="X136">
        <v>88</v>
      </c>
      <c r="Y136" s="6">
        <v>3062.4</v>
      </c>
      <c r="Z136" s="5">
        <v>303.17759999999998</v>
      </c>
    </row>
    <row r="137" spans="1:26" hidden="1">
      <c r="A137">
        <v>1151</v>
      </c>
      <c r="B137" s="4">
        <v>41796</v>
      </c>
      <c r="C137">
        <v>6</v>
      </c>
      <c r="D137" t="s">
        <v>92</v>
      </c>
      <c r="E137" t="s">
        <v>93</v>
      </c>
      <c r="F137" t="s">
        <v>94</v>
      </c>
      <c r="G137" t="s">
        <v>95</v>
      </c>
      <c r="H137">
        <v>99999</v>
      </c>
      <c r="I137" t="s">
        <v>40</v>
      </c>
      <c r="J137" t="s">
        <v>96</v>
      </c>
      <c r="K137" t="s">
        <v>71</v>
      </c>
      <c r="L137" s="4">
        <v>41798</v>
      </c>
      <c r="M137" t="s">
        <v>43</v>
      </c>
      <c r="N137" t="s">
        <v>97</v>
      </c>
      <c r="O137" t="s">
        <v>93</v>
      </c>
      <c r="P137" t="s">
        <v>94</v>
      </c>
      <c r="Q137" t="s">
        <v>95</v>
      </c>
      <c r="R137">
        <v>99999</v>
      </c>
      <c r="S137" t="s">
        <v>40</v>
      </c>
      <c r="T137" t="s">
        <v>58</v>
      </c>
      <c r="U137" t="s">
        <v>46</v>
      </c>
      <c r="V137" t="s">
        <v>47</v>
      </c>
      <c r="W137">
        <v>14</v>
      </c>
      <c r="X137">
        <v>65</v>
      </c>
      <c r="Y137" s="6">
        <v>910</v>
      </c>
      <c r="Z137" s="5">
        <v>95.55</v>
      </c>
    </row>
    <row r="138" spans="1:26" hidden="1">
      <c r="A138">
        <v>1152</v>
      </c>
      <c r="B138" s="4">
        <v>41798</v>
      </c>
      <c r="C138">
        <v>8</v>
      </c>
      <c r="D138" t="s">
        <v>66</v>
      </c>
      <c r="E138" t="s">
        <v>67</v>
      </c>
      <c r="F138" t="s">
        <v>68</v>
      </c>
      <c r="G138" t="s">
        <v>69</v>
      </c>
      <c r="H138">
        <v>99999</v>
      </c>
      <c r="I138" t="s">
        <v>40</v>
      </c>
      <c r="J138" t="s">
        <v>70</v>
      </c>
      <c r="K138" t="s">
        <v>71</v>
      </c>
      <c r="L138" s="4">
        <v>41800</v>
      </c>
      <c r="M138" t="s">
        <v>43</v>
      </c>
      <c r="N138" t="s">
        <v>73</v>
      </c>
      <c r="O138" t="s">
        <v>67</v>
      </c>
      <c r="P138" t="s">
        <v>68</v>
      </c>
      <c r="Q138" t="s">
        <v>69</v>
      </c>
      <c r="R138">
        <v>99999</v>
      </c>
      <c r="S138" t="s">
        <v>40</v>
      </c>
      <c r="T138" t="s">
        <v>45</v>
      </c>
      <c r="U138" t="s">
        <v>98</v>
      </c>
      <c r="V138" t="s">
        <v>99</v>
      </c>
      <c r="W138">
        <v>40</v>
      </c>
      <c r="X138">
        <v>38</v>
      </c>
      <c r="Y138" s="6">
        <v>1520</v>
      </c>
      <c r="Z138" s="5">
        <v>148.96</v>
      </c>
    </row>
    <row r="139" spans="1:26">
      <c r="A139">
        <v>1153</v>
      </c>
      <c r="B139" s="4">
        <v>41798</v>
      </c>
      <c r="C139">
        <v>8</v>
      </c>
      <c r="D139" t="s">
        <v>66</v>
      </c>
      <c r="E139" t="s">
        <v>67</v>
      </c>
      <c r="F139" t="s">
        <v>68</v>
      </c>
      <c r="G139" t="s">
        <v>69</v>
      </c>
      <c r="H139">
        <v>99999</v>
      </c>
      <c r="I139" t="s">
        <v>40</v>
      </c>
      <c r="J139" t="s">
        <v>70</v>
      </c>
      <c r="K139" t="s">
        <v>71</v>
      </c>
      <c r="L139">
        <v>41800</v>
      </c>
      <c r="M139" t="s">
        <v>43</v>
      </c>
      <c r="N139" t="s">
        <v>73</v>
      </c>
      <c r="O139" t="s">
        <v>67</v>
      </c>
      <c r="P139" t="s">
        <v>68</v>
      </c>
      <c r="Q139" t="s">
        <v>69</v>
      </c>
      <c r="R139">
        <v>99999</v>
      </c>
      <c r="S139" t="s">
        <v>40</v>
      </c>
      <c r="T139" t="s">
        <v>45</v>
      </c>
      <c r="U139" t="s">
        <v>74</v>
      </c>
      <c r="V139" t="s">
        <v>75</v>
      </c>
      <c r="W139" s="5">
        <v>9.1999999999999993</v>
      </c>
      <c r="X139">
        <v>80</v>
      </c>
      <c r="Y139" s="6">
        <v>736</v>
      </c>
      <c r="Z139" s="5">
        <v>70.656000000000006</v>
      </c>
    </row>
    <row r="140" spans="1:26">
      <c r="A140">
        <v>1154</v>
      </c>
      <c r="B140" s="4">
        <v>41815</v>
      </c>
      <c r="C140">
        <v>25</v>
      </c>
      <c r="D140" t="s">
        <v>148</v>
      </c>
      <c r="E140" t="s">
        <v>149</v>
      </c>
      <c r="F140" t="s">
        <v>109</v>
      </c>
      <c r="G140" t="s">
        <v>110</v>
      </c>
      <c r="H140">
        <v>99999</v>
      </c>
      <c r="I140" t="s">
        <v>40</v>
      </c>
      <c r="J140" t="s">
        <v>111</v>
      </c>
      <c r="K140" t="s">
        <v>55</v>
      </c>
      <c r="L140" s="4">
        <v>41817</v>
      </c>
      <c r="M140" t="s">
        <v>56</v>
      </c>
      <c r="N140" t="s">
        <v>150</v>
      </c>
      <c r="O140" t="s">
        <v>149</v>
      </c>
      <c r="P140" t="s">
        <v>109</v>
      </c>
      <c r="Q140" t="s">
        <v>110</v>
      </c>
      <c r="R140">
        <v>99999</v>
      </c>
      <c r="S140" t="s">
        <v>40</v>
      </c>
      <c r="T140" t="s">
        <v>89</v>
      </c>
      <c r="U140" t="s">
        <v>157</v>
      </c>
      <c r="V140" t="s">
        <v>75</v>
      </c>
      <c r="W140" s="5">
        <v>10</v>
      </c>
      <c r="X140">
        <v>49</v>
      </c>
      <c r="Y140" s="6">
        <v>490</v>
      </c>
      <c r="Z140" s="5">
        <v>47.04</v>
      </c>
    </row>
    <row r="141" spans="1:26" hidden="1">
      <c r="A141">
        <v>1155</v>
      </c>
      <c r="B141" s="4">
        <v>41816</v>
      </c>
      <c r="C141">
        <v>26</v>
      </c>
      <c r="D141" t="s">
        <v>151</v>
      </c>
      <c r="E141" t="s">
        <v>152</v>
      </c>
      <c r="F141" t="s">
        <v>125</v>
      </c>
      <c r="G141" t="s">
        <v>126</v>
      </c>
      <c r="H141">
        <v>99999</v>
      </c>
      <c r="I141" t="s">
        <v>40</v>
      </c>
      <c r="J141" t="s">
        <v>104</v>
      </c>
      <c r="K141" t="s">
        <v>105</v>
      </c>
      <c r="L141" s="4">
        <v>41818</v>
      </c>
      <c r="M141" t="s">
        <v>72</v>
      </c>
      <c r="N141" t="s">
        <v>153</v>
      </c>
      <c r="O141" t="s">
        <v>152</v>
      </c>
      <c r="P141" t="s">
        <v>125</v>
      </c>
      <c r="Q141" t="s">
        <v>126</v>
      </c>
      <c r="R141">
        <v>99999</v>
      </c>
      <c r="S141" t="s">
        <v>40</v>
      </c>
      <c r="T141" t="s">
        <v>58</v>
      </c>
      <c r="U141" t="s">
        <v>158</v>
      </c>
      <c r="V141" t="s">
        <v>159</v>
      </c>
      <c r="W141" s="5">
        <v>21.35</v>
      </c>
      <c r="X141">
        <v>90</v>
      </c>
      <c r="Y141" s="6">
        <v>1921.5</v>
      </c>
      <c r="Z141" s="5">
        <v>186.38550000000001</v>
      </c>
    </row>
    <row r="142" spans="1:26" hidden="1">
      <c r="A142">
        <v>1156</v>
      </c>
      <c r="B142" s="4">
        <v>41816</v>
      </c>
      <c r="C142">
        <v>26</v>
      </c>
      <c r="D142" t="s">
        <v>151</v>
      </c>
      <c r="E142" t="s">
        <v>152</v>
      </c>
      <c r="F142" t="s">
        <v>125</v>
      </c>
      <c r="G142" t="s">
        <v>126</v>
      </c>
      <c r="H142">
        <v>99999</v>
      </c>
      <c r="I142" t="s">
        <v>40</v>
      </c>
      <c r="J142" t="s">
        <v>104</v>
      </c>
      <c r="K142" t="s">
        <v>105</v>
      </c>
      <c r="L142" s="4">
        <v>41818</v>
      </c>
      <c r="M142" t="s">
        <v>72</v>
      </c>
      <c r="N142" t="s">
        <v>153</v>
      </c>
      <c r="O142" t="s">
        <v>152</v>
      </c>
      <c r="P142" t="s">
        <v>125</v>
      </c>
      <c r="Q142" t="s">
        <v>126</v>
      </c>
      <c r="R142">
        <v>99999</v>
      </c>
      <c r="S142" t="s">
        <v>40</v>
      </c>
      <c r="T142" t="s">
        <v>58</v>
      </c>
      <c r="U142" t="s">
        <v>90</v>
      </c>
      <c r="V142" t="s">
        <v>91</v>
      </c>
      <c r="W142" s="5">
        <v>9.65</v>
      </c>
      <c r="X142">
        <v>60</v>
      </c>
      <c r="Y142" s="6">
        <v>579</v>
      </c>
      <c r="Z142" s="5">
        <v>59.637</v>
      </c>
    </row>
    <row r="143" spans="1:26" hidden="1">
      <c r="A143">
        <v>1157</v>
      </c>
      <c r="B143" s="4">
        <v>41816</v>
      </c>
      <c r="C143">
        <v>26</v>
      </c>
      <c r="D143" t="s">
        <v>151</v>
      </c>
      <c r="E143" t="s">
        <v>152</v>
      </c>
      <c r="F143" t="s">
        <v>125</v>
      </c>
      <c r="G143" t="s">
        <v>126</v>
      </c>
      <c r="H143">
        <v>99999</v>
      </c>
      <c r="I143" t="s">
        <v>40</v>
      </c>
      <c r="J143" t="s">
        <v>104</v>
      </c>
      <c r="K143" t="s">
        <v>105</v>
      </c>
      <c r="L143">
        <v>41818</v>
      </c>
      <c r="M143" t="s">
        <v>72</v>
      </c>
      <c r="N143" t="s">
        <v>153</v>
      </c>
      <c r="O143" t="s">
        <v>152</v>
      </c>
      <c r="P143" t="s">
        <v>125</v>
      </c>
      <c r="Q143" t="s">
        <v>126</v>
      </c>
      <c r="R143">
        <v>99999</v>
      </c>
      <c r="S143" t="s">
        <v>40</v>
      </c>
      <c r="T143" t="s">
        <v>58</v>
      </c>
      <c r="U143" t="s">
        <v>133</v>
      </c>
      <c r="V143" t="s">
        <v>134</v>
      </c>
      <c r="W143" s="5">
        <v>18.399999999999999</v>
      </c>
      <c r="X143">
        <v>39</v>
      </c>
      <c r="Y143" s="6">
        <v>717.6</v>
      </c>
      <c r="Z143" s="5">
        <v>71.760000000000005</v>
      </c>
    </row>
    <row r="144" spans="1:26" hidden="1">
      <c r="A144">
        <v>1158</v>
      </c>
      <c r="B144" s="4">
        <v>41819</v>
      </c>
      <c r="C144">
        <v>29</v>
      </c>
      <c r="D144" t="s">
        <v>76</v>
      </c>
      <c r="E144" t="s">
        <v>77</v>
      </c>
      <c r="F144" t="s">
        <v>78</v>
      </c>
      <c r="G144" t="s">
        <v>79</v>
      </c>
      <c r="H144">
        <v>99999</v>
      </c>
      <c r="I144" t="s">
        <v>40</v>
      </c>
      <c r="J144" t="s">
        <v>80</v>
      </c>
      <c r="K144" t="s">
        <v>42</v>
      </c>
      <c r="L144">
        <v>41821</v>
      </c>
      <c r="M144" t="s">
        <v>43</v>
      </c>
      <c r="N144" t="s">
        <v>81</v>
      </c>
      <c r="O144" t="s">
        <v>77</v>
      </c>
      <c r="P144" t="s">
        <v>78</v>
      </c>
      <c r="Q144" t="s">
        <v>79</v>
      </c>
      <c r="R144">
        <v>99999</v>
      </c>
      <c r="S144" t="s">
        <v>40</v>
      </c>
      <c r="T144" t="s">
        <v>45</v>
      </c>
      <c r="U144" t="s">
        <v>46</v>
      </c>
      <c r="V144" t="s">
        <v>47</v>
      </c>
      <c r="W144" s="5">
        <v>14</v>
      </c>
      <c r="X144">
        <v>79</v>
      </c>
      <c r="Y144" s="6">
        <v>1106</v>
      </c>
      <c r="Z144" s="5">
        <v>113.91800000000001</v>
      </c>
    </row>
    <row r="145" spans="1:26" hidden="1">
      <c r="A145">
        <v>1159</v>
      </c>
      <c r="B145" s="4">
        <v>41796</v>
      </c>
      <c r="C145">
        <v>6</v>
      </c>
      <c r="D145" t="s">
        <v>92</v>
      </c>
      <c r="E145" t="s">
        <v>93</v>
      </c>
      <c r="F145" t="s">
        <v>94</v>
      </c>
      <c r="G145" t="s">
        <v>95</v>
      </c>
      <c r="H145">
        <v>99999</v>
      </c>
      <c r="I145" t="s">
        <v>40</v>
      </c>
      <c r="J145" t="s">
        <v>96</v>
      </c>
      <c r="K145" t="s">
        <v>71</v>
      </c>
      <c r="L145">
        <v>41798</v>
      </c>
      <c r="M145" t="s">
        <v>72</v>
      </c>
      <c r="N145" t="s">
        <v>97</v>
      </c>
      <c r="O145" t="s">
        <v>93</v>
      </c>
      <c r="P145" t="s">
        <v>94</v>
      </c>
      <c r="Q145" t="s">
        <v>95</v>
      </c>
      <c r="R145">
        <v>99999</v>
      </c>
      <c r="S145" t="s">
        <v>40</v>
      </c>
      <c r="T145" t="s">
        <v>45</v>
      </c>
      <c r="U145" t="s">
        <v>82</v>
      </c>
      <c r="V145" t="s">
        <v>83</v>
      </c>
      <c r="W145" s="5">
        <v>12.75</v>
      </c>
      <c r="X145">
        <v>44</v>
      </c>
      <c r="Y145" s="6">
        <v>561</v>
      </c>
      <c r="Z145" s="5">
        <v>57.222000000000001</v>
      </c>
    </row>
    <row r="146" spans="1:26" hidden="1">
      <c r="A146">
        <v>1161</v>
      </c>
      <c r="B146" s="4">
        <v>41794</v>
      </c>
      <c r="C146">
        <v>4</v>
      </c>
      <c r="D146" t="s">
        <v>50</v>
      </c>
      <c r="E146" t="s">
        <v>51</v>
      </c>
      <c r="F146" t="s">
        <v>52</v>
      </c>
      <c r="G146" t="s">
        <v>53</v>
      </c>
      <c r="H146">
        <v>99999</v>
      </c>
      <c r="I146" t="s">
        <v>40</v>
      </c>
      <c r="J146" t="s">
        <v>54</v>
      </c>
      <c r="K146" t="s">
        <v>55</v>
      </c>
      <c r="L146">
        <v>41796</v>
      </c>
      <c r="M146" t="s">
        <v>56</v>
      </c>
      <c r="N146" t="s">
        <v>57</v>
      </c>
      <c r="O146" t="s">
        <v>51</v>
      </c>
      <c r="P146" t="s">
        <v>52</v>
      </c>
      <c r="Q146" t="s">
        <v>53</v>
      </c>
      <c r="R146">
        <v>99999</v>
      </c>
      <c r="S146" t="s">
        <v>40</v>
      </c>
      <c r="T146" t="s">
        <v>58</v>
      </c>
      <c r="U146" t="s">
        <v>160</v>
      </c>
      <c r="V146" t="s">
        <v>120</v>
      </c>
      <c r="W146" s="5">
        <v>81</v>
      </c>
      <c r="X146">
        <v>98</v>
      </c>
      <c r="Y146" s="6">
        <v>7938</v>
      </c>
      <c r="Z146" s="5">
        <v>769.98599999999999</v>
      </c>
    </row>
    <row r="147" spans="1:26" hidden="1">
      <c r="A147">
        <v>1162</v>
      </c>
      <c r="B147" s="4">
        <v>41794</v>
      </c>
      <c r="C147">
        <v>4</v>
      </c>
      <c r="D147" t="s">
        <v>50</v>
      </c>
      <c r="E147" t="s">
        <v>51</v>
      </c>
      <c r="F147" t="s">
        <v>52</v>
      </c>
      <c r="G147" t="s">
        <v>53</v>
      </c>
      <c r="H147">
        <v>99999</v>
      </c>
      <c r="I147" t="s">
        <v>40</v>
      </c>
      <c r="J147" t="s">
        <v>54</v>
      </c>
      <c r="K147" t="s">
        <v>55</v>
      </c>
      <c r="L147">
        <v>41796</v>
      </c>
      <c r="M147" t="s">
        <v>56</v>
      </c>
      <c r="N147" t="s">
        <v>57</v>
      </c>
      <c r="O147" t="s">
        <v>51</v>
      </c>
      <c r="P147" t="s">
        <v>52</v>
      </c>
      <c r="Q147" t="s">
        <v>53</v>
      </c>
      <c r="R147">
        <v>99999</v>
      </c>
      <c r="S147" t="s">
        <v>40</v>
      </c>
      <c r="T147" t="s">
        <v>58</v>
      </c>
      <c r="U147" t="s">
        <v>161</v>
      </c>
      <c r="V147" t="s">
        <v>162</v>
      </c>
      <c r="W147" s="5">
        <v>7</v>
      </c>
      <c r="X147">
        <v>61</v>
      </c>
      <c r="Y147" s="6">
        <v>427</v>
      </c>
      <c r="Z147" s="5">
        <v>42.273000000000003</v>
      </c>
    </row>
    <row r="148" spans="1:26" hidden="1">
      <c r="A148">
        <v>1164</v>
      </c>
      <c r="B148" s="4">
        <v>41798</v>
      </c>
      <c r="C148">
        <v>8</v>
      </c>
      <c r="D148" t="s">
        <v>66</v>
      </c>
      <c r="E148" t="s">
        <v>67</v>
      </c>
      <c r="F148" t="s">
        <v>68</v>
      </c>
      <c r="G148" t="s">
        <v>69</v>
      </c>
      <c r="H148">
        <v>99999</v>
      </c>
      <c r="I148" t="s">
        <v>40</v>
      </c>
      <c r="J148" t="s">
        <v>70</v>
      </c>
      <c r="K148" t="s">
        <v>71</v>
      </c>
      <c r="L148" s="4">
        <v>41800</v>
      </c>
      <c r="M148" t="s">
        <v>72</v>
      </c>
      <c r="N148" t="s">
        <v>73</v>
      </c>
      <c r="O148" t="s">
        <v>67</v>
      </c>
      <c r="P148" t="s">
        <v>68</v>
      </c>
      <c r="Q148" t="s">
        <v>69</v>
      </c>
      <c r="R148">
        <v>99999</v>
      </c>
      <c r="S148" t="s">
        <v>40</v>
      </c>
      <c r="T148" t="s">
        <v>58</v>
      </c>
      <c r="U148" t="s">
        <v>143</v>
      </c>
      <c r="V148" t="s">
        <v>144</v>
      </c>
      <c r="W148" s="5">
        <v>34.799999999999997</v>
      </c>
      <c r="X148">
        <v>30</v>
      </c>
      <c r="Y148" s="6">
        <v>1044</v>
      </c>
      <c r="Z148" s="5">
        <v>109.62</v>
      </c>
    </row>
    <row r="149" spans="1:26" hidden="1">
      <c r="A149">
        <v>1167</v>
      </c>
      <c r="B149" s="4">
        <v>41793</v>
      </c>
      <c r="C149">
        <v>3</v>
      </c>
      <c r="D149" t="s">
        <v>84</v>
      </c>
      <c r="E149" t="s">
        <v>85</v>
      </c>
      <c r="F149" t="s">
        <v>86</v>
      </c>
      <c r="G149" t="s">
        <v>87</v>
      </c>
      <c r="H149">
        <v>99999</v>
      </c>
      <c r="I149" t="s">
        <v>40</v>
      </c>
      <c r="J149" t="s">
        <v>41</v>
      </c>
      <c r="K149" t="s">
        <v>42</v>
      </c>
      <c r="L149" s="4">
        <v>41795</v>
      </c>
      <c r="M149" t="s">
        <v>43</v>
      </c>
      <c r="N149" t="s">
        <v>88</v>
      </c>
      <c r="O149" t="s">
        <v>85</v>
      </c>
      <c r="P149" t="s">
        <v>86</v>
      </c>
      <c r="Q149" t="s">
        <v>87</v>
      </c>
      <c r="R149">
        <v>99999</v>
      </c>
      <c r="S149" t="s">
        <v>40</v>
      </c>
      <c r="T149" t="s">
        <v>89</v>
      </c>
      <c r="U149" t="s">
        <v>145</v>
      </c>
      <c r="V149" t="s">
        <v>122</v>
      </c>
      <c r="W149" s="5">
        <v>10</v>
      </c>
      <c r="X149">
        <v>24</v>
      </c>
      <c r="Y149" s="6">
        <v>240</v>
      </c>
      <c r="Z149" s="5">
        <v>25.2</v>
      </c>
    </row>
    <row r="150" spans="1:26" hidden="1">
      <c r="A150">
        <v>1168</v>
      </c>
      <c r="B150" s="4">
        <v>41793</v>
      </c>
      <c r="C150">
        <v>3</v>
      </c>
      <c r="D150" t="s">
        <v>84</v>
      </c>
      <c r="E150" t="s">
        <v>85</v>
      </c>
      <c r="F150" t="s">
        <v>86</v>
      </c>
      <c r="G150" t="s">
        <v>87</v>
      </c>
      <c r="H150">
        <v>99999</v>
      </c>
      <c r="I150" t="s">
        <v>40</v>
      </c>
      <c r="J150" t="s">
        <v>41</v>
      </c>
      <c r="K150" t="s">
        <v>42</v>
      </c>
      <c r="L150" s="4">
        <v>41795</v>
      </c>
      <c r="M150" t="s">
        <v>43</v>
      </c>
      <c r="N150" t="s">
        <v>88</v>
      </c>
      <c r="O150" t="s">
        <v>85</v>
      </c>
      <c r="P150" t="s">
        <v>86</v>
      </c>
      <c r="Q150" t="s">
        <v>87</v>
      </c>
      <c r="R150">
        <v>99999</v>
      </c>
      <c r="S150" t="s">
        <v>40</v>
      </c>
      <c r="T150" t="s">
        <v>89</v>
      </c>
      <c r="U150" t="s">
        <v>98</v>
      </c>
      <c r="V150" t="s">
        <v>99</v>
      </c>
      <c r="W150" s="5">
        <v>40</v>
      </c>
      <c r="X150">
        <v>28</v>
      </c>
      <c r="Y150" s="6">
        <v>1120</v>
      </c>
      <c r="Z150" s="5">
        <v>109.76</v>
      </c>
    </row>
    <row r="151" spans="1:26" hidden="1">
      <c r="A151">
        <v>1172</v>
      </c>
      <c r="B151" s="4">
        <v>41800</v>
      </c>
      <c r="C151">
        <v>10</v>
      </c>
      <c r="D151" t="s">
        <v>107</v>
      </c>
      <c r="E151" t="s">
        <v>108</v>
      </c>
      <c r="F151" t="s">
        <v>109</v>
      </c>
      <c r="G151" t="s">
        <v>110</v>
      </c>
      <c r="H151">
        <v>99999</v>
      </c>
      <c r="I151" t="s">
        <v>40</v>
      </c>
      <c r="J151" t="s">
        <v>111</v>
      </c>
      <c r="K151" t="s">
        <v>55</v>
      </c>
      <c r="L151" s="4">
        <v>41802</v>
      </c>
      <c r="M151" t="s">
        <v>43</v>
      </c>
      <c r="N151" t="s">
        <v>112</v>
      </c>
      <c r="O151" t="s">
        <v>108</v>
      </c>
      <c r="P151" t="s">
        <v>109</v>
      </c>
      <c r="Q151" t="s">
        <v>110</v>
      </c>
      <c r="R151">
        <v>99999</v>
      </c>
      <c r="S151" t="s">
        <v>40</v>
      </c>
      <c r="T151" t="s">
        <v>58</v>
      </c>
      <c r="U151" t="s">
        <v>147</v>
      </c>
      <c r="V151" t="s">
        <v>49</v>
      </c>
      <c r="W151" s="5">
        <v>10</v>
      </c>
      <c r="X151">
        <v>74</v>
      </c>
      <c r="Y151" s="6">
        <v>740</v>
      </c>
      <c r="Z151" s="5">
        <v>71.78</v>
      </c>
    </row>
    <row r="152" spans="1:26" hidden="1">
      <c r="A152">
        <v>1174</v>
      </c>
      <c r="B152" s="4">
        <v>41800</v>
      </c>
      <c r="C152">
        <v>10</v>
      </c>
      <c r="D152" t="s">
        <v>107</v>
      </c>
      <c r="E152" t="s">
        <v>108</v>
      </c>
      <c r="F152" t="s">
        <v>109</v>
      </c>
      <c r="G152" t="s">
        <v>110</v>
      </c>
      <c r="H152">
        <v>99999</v>
      </c>
      <c r="I152" t="s">
        <v>40</v>
      </c>
      <c r="J152" t="s">
        <v>111</v>
      </c>
      <c r="K152" t="s">
        <v>55</v>
      </c>
      <c r="L152" s="4"/>
      <c r="M152" t="s">
        <v>56</v>
      </c>
      <c r="N152" t="s">
        <v>112</v>
      </c>
      <c r="O152" t="s">
        <v>108</v>
      </c>
      <c r="P152" t="s">
        <v>109</v>
      </c>
      <c r="Q152" t="s">
        <v>110</v>
      </c>
      <c r="R152">
        <v>99999</v>
      </c>
      <c r="S152" t="s">
        <v>40</v>
      </c>
      <c r="U152" t="s">
        <v>48</v>
      </c>
      <c r="V152" t="s">
        <v>49</v>
      </c>
      <c r="W152" s="5">
        <v>3.5</v>
      </c>
      <c r="X152">
        <v>90</v>
      </c>
      <c r="Y152" s="6">
        <v>315</v>
      </c>
      <c r="Z152" s="5">
        <v>30.24</v>
      </c>
    </row>
    <row r="153" spans="1:26" hidden="1">
      <c r="A153">
        <v>1175</v>
      </c>
      <c r="B153" s="4">
        <v>41801</v>
      </c>
      <c r="C153">
        <v>11</v>
      </c>
      <c r="D153" t="s">
        <v>123</v>
      </c>
      <c r="E153" t="s">
        <v>124</v>
      </c>
      <c r="F153" t="s">
        <v>125</v>
      </c>
      <c r="G153" t="s">
        <v>126</v>
      </c>
      <c r="H153">
        <v>99999</v>
      </c>
      <c r="I153" t="s">
        <v>40</v>
      </c>
      <c r="J153" t="s">
        <v>104</v>
      </c>
      <c r="K153" t="s">
        <v>105</v>
      </c>
      <c r="L153" s="4"/>
      <c r="M153" t="s">
        <v>72</v>
      </c>
      <c r="N153" t="s">
        <v>127</v>
      </c>
      <c r="O153" t="s">
        <v>124</v>
      </c>
      <c r="P153" t="s">
        <v>125</v>
      </c>
      <c r="Q153" t="s">
        <v>126</v>
      </c>
      <c r="R153">
        <v>99999</v>
      </c>
      <c r="S153" t="s">
        <v>40</v>
      </c>
      <c r="U153" t="s">
        <v>98</v>
      </c>
      <c r="V153" t="s">
        <v>99</v>
      </c>
      <c r="W153" s="5">
        <v>40</v>
      </c>
      <c r="X153">
        <v>27</v>
      </c>
      <c r="Y153" s="6">
        <v>1080</v>
      </c>
      <c r="Z153" s="5">
        <v>111.24</v>
      </c>
    </row>
    <row r="154" spans="1:26" hidden="1">
      <c r="A154">
        <v>1176</v>
      </c>
      <c r="B154" s="4">
        <v>41791</v>
      </c>
      <c r="C154">
        <v>1</v>
      </c>
      <c r="D154" t="s">
        <v>128</v>
      </c>
      <c r="E154" t="s">
        <v>129</v>
      </c>
      <c r="F154" t="s">
        <v>130</v>
      </c>
      <c r="G154" t="s">
        <v>131</v>
      </c>
      <c r="H154">
        <v>99999</v>
      </c>
      <c r="I154" t="s">
        <v>40</v>
      </c>
      <c r="J154" t="s">
        <v>70</v>
      </c>
      <c r="K154" t="s">
        <v>71</v>
      </c>
      <c r="L154" s="4"/>
      <c r="M154" t="s">
        <v>72</v>
      </c>
      <c r="N154" t="s">
        <v>132</v>
      </c>
      <c r="O154" t="s">
        <v>129</v>
      </c>
      <c r="P154" t="s">
        <v>130</v>
      </c>
      <c r="Q154" t="s">
        <v>131</v>
      </c>
      <c r="R154">
        <v>99999</v>
      </c>
      <c r="S154" t="s">
        <v>40</v>
      </c>
      <c r="U154" t="s">
        <v>133</v>
      </c>
      <c r="V154" t="s">
        <v>134</v>
      </c>
      <c r="W154" s="5">
        <v>18.399999999999999</v>
      </c>
      <c r="X154">
        <v>71</v>
      </c>
      <c r="Y154" s="6">
        <v>1306.4000000000001</v>
      </c>
      <c r="Z154" s="5">
        <v>137.172</v>
      </c>
    </row>
    <row r="155" spans="1:26" hidden="1">
      <c r="A155">
        <v>1177</v>
      </c>
      <c r="B155" s="4">
        <v>41818</v>
      </c>
      <c r="C155">
        <v>28</v>
      </c>
      <c r="D155" t="s">
        <v>100</v>
      </c>
      <c r="E155" t="s">
        <v>101</v>
      </c>
      <c r="F155" t="s">
        <v>102</v>
      </c>
      <c r="G155" t="s">
        <v>103</v>
      </c>
      <c r="H155">
        <v>99999</v>
      </c>
      <c r="I155" t="s">
        <v>40</v>
      </c>
      <c r="J155" t="s">
        <v>104</v>
      </c>
      <c r="K155" t="s">
        <v>105</v>
      </c>
      <c r="L155" s="4">
        <v>41820</v>
      </c>
      <c r="M155" t="s">
        <v>72</v>
      </c>
      <c r="N155" t="s">
        <v>106</v>
      </c>
      <c r="O155" t="s">
        <v>101</v>
      </c>
      <c r="P155" t="s">
        <v>102</v>
      </c>
      <c r="Q155" t="s">
        <v>103</v>
      </c>
      <c r="R155">
        <v>99999</v>
      </c>
      <c r="S155" t="s">
        <v>40</v>
      </c>
      <c r="T155" t="s">
        <v>58</v>
      </c>
      <c r="U155" t="s">
        <v>65</v>
      </c>
      <c r="V155" t="s">
        <v>47</v>
      </c>
      <c r="W155" s="5">
        <v>46</v>
      </c>
      <c r="X155">
        <v>74</v>
      </c>
      <c r="Y155" s="6">
        <v>3404</v>
      </c>
      <c r="Z155" s="5">
        <v>340.4</v>
      </c>
    </row>
    <row r="156" spans="1:26" hidden="1">
      <c r="A156">
        <v>1178</v>
      </c>
      <c r="B156" s="4">
        <v>41799</v>
      </c>
      <c r="C156">
        <v>9</v>
      </c>
      <c r="D156" t="s">
        <v>135</v>
      </c>
      <c r="E156" t="s">
        <v>136</v>
      </c>
      <c r="F156" t="s">
        <v>137</v>
      </c>
      <c r="G156" t="s">
        <v>138</v>
      </c>
      <c r="H156">
        <v>99999</v>
      </c>
      <c r="I156" t="s">
        <v>40</v>
      </c>
      <c r="J156" t="s">
        <v>139</v>
      </c>
      <c r="K156" t="s">
        <v>42</v>
      </c>
      <c r="L156" s="4">
        <v>41801</v>
      </c>
      <c r="M156" t="s">
        <v>56</v>
      </c>
      <c r="N156" t="s">
        <v>140</v>
      </c>
      <c r="O156" t="s">
        <v>136</v>
      </c>
      <c r="P156" t="s">
        <v>137</v>
      </c>
      <c r="Q156" t="s">
        <v>138</v>
      </c>
      <c r="R156">
        <v>99999</v>
      </c>
      <c r="S156" t="s">
        <v>40</v>
      </c>
      <c r="T156" t="s">
        <v>45</v>
      </c>
      <c r="U156" t="s">
        <v>90</v>
      </c>
      <c r="V156" t="s">
        <v>91</v>
      </c>
      <c r="W156" s="5">
        <v>9.65</v>
      </c>
      <c r="X156">
        <v>76</v>
      </c>
      <c r="Y156" s="6">
        <v>733.4</v>
      </c>
      <c r="Z156" s="5">
        <v>72.6066</v>
      </c>
    </row>
    <row r="157" spans="1:26" hidden="1">
      <c r="A157">
        <v>1179</v>
      </c>
      <c r="B157" s="4">
        <v>41796</v>
      </c>
      <c r="C157">
        <v>6</v>
      </c>
      <c r="D157" t="s">
        <v>92</v>
      </c>
      <c r="E157" t="s">
        <v>93</v>
      </c>
      <c r="F157" t="s">
        <v>94</v>
      </c>
      <c r="G157" t="s">
        <v>95</v>
      </c>
      <c r="H157">
        <v>99999</v>
      </c>
      <c r="I157" t="s">
        <v>40</v>
      </c>
      <c r="J157" t="s">
        <v>96</v>
      </c>
      <c r="K157" t="s">
        <v>71</v>
      </c>
      <c r="L157" s="4">
        <v>41798</v>
      </c>
      <c r="M157" t="s">
        <v>43</v>
      </c>
      <c r="N157" t="s">
        <v>97</v>
      </c>
      <c r="O157" t="s">
        <v>93</v>
      </c>
      <c r="P157" t="s">
        <v>94</v>
      </c>
      <c r="Q157" t="s">
        <v>95</v>
      </c>
      <c r="R157">
        <v>99999</v>
      </c>
      <c r="S157" t="s">
        <v>40</v>
      </c>
      <c r="T157" t="s">
        <v>58</v>
      </c>
      <c r="U157" t="s">
        <v>82</v>
      </c>
      <c r="V157" t="s">
        <v>83</v>
      </c>
      <c r="W157" s="5">
        <v>12.75</v>
      </c>
      <c r="X157">
        <v>96</v>
      </c>
      <c r="Y157" s="6">
        <v>1224</v>
      </c>
      <c r="Z157" s="5">
        <v>123.624</v>
      </c>
    </row>
    <row r="158" spans="1:26" hidden="1">
      <c r="A158">
        <v>1180</v>
      </c>
      <c r="B158" s="4">
        <v>41798</v>
      </c>
      <c r="C158">
        <v>8</v>
      </c>
      <c r="D158" t="s">
        <v>66</v>
      </c>
      <c r="E158" t="s">
        <v>67</v>
      </c>
      <c r="F158" t="s">
        <v>68</v>
      </c>
      <c r="G158" t="s">
        <v>69</v>
      </c>
      <c r="H158">
        <v>99999</v>
      </c>
      <c r="I158" t="s">
        <v>40</v>
      </c>
      <c r="J158" t="s">
        <v>70</v>
      </c>
      <c r="K158" t="s">
        <v>71</v>
      </c>
      <c r="L158" s="4">
        <v>41800</v>
      </c>
      <c r="M158" t="s">
        <v>43</v>
      </c>
      <c r="N158" t="s">
        <v>73</v>
      </c>
      <c r="O158" t="s">
        <v>67</v>
      </c>
      <c r="P158" t="s">
        <v>68</v>
      </c>
      <c r="Q158" t="s">
        <v>69</v>
      </c>
      <c r="R158">
        <v>99999</v>
      </c>
      <c r="S158" t="s">
        <v>40</v>
      </c>
      <c r="T158" t="s">
        <v>45</v>
      </c>
      <c r="U158" t="s">
        <v>82</v>
      </c>
      <c r="V158" t="s">
        <v>83</v>
      </c>
      <c r="W158" s="5">
        <v>12.75</v>
      </c>
      <c r="X158">
        <v>92</v>
      </c>
      <c r="Y158" s="6">
        <v>1173</v>
      </c>
      <c r="Z158" s="5">
        <v>116.127</v>
      </c>
    </row>
    <row r="159" spans="1:26" hidden="1">
      <c r="A159">
        <v>1181</v>
      </c>
      <c r="B159" s="4">
        <v>41815</v>
      </c>
      <c r="C159">
        <v>25</v>
      </c>
      <c r="D159" t="s">
        <v>148</v>
      </c>
      <c r="E159" t="s">
        <v>149</v>
      </c>
      <c r="F159" t="s">
        <v>109</v>
      </c>
      <c r="G159" t="s">
        <v>110</v>
      </c>
      <c r="H159">
        <v>99999</v>
      </c>
      <c r="I159" t="s">
        <v>40</v>
      </c>
      <c r="J159" t="s">
        <v>111</v>
      </c>
      <c r="K159" t="s">
        <v>55</v>
      </c>
      <c r="L159" s="4">
        <v>41817</v>
      </c>
      <c r="M159" t="s">
        <v>56</v>
      </c>
      <c r="N159" t="s">
        <v>150</v>
      </c>
      <c r="O159" t="s">
        <v>149</v>
      </c>
      <c r="P159" t="s">
        <v>109</v>
      </c>
      <c r="Q159" t="s">
        <v>110</v>
      </c>
      <c r="R159">
        <v>99999</v>
      </c>
      <c r="S159" t="s">
        <v>40</v>
      </c>
      <c r="T159" t="s">
        <v>89</v>
      </c>
      <c r="U159" t="s">
        <v>121</v>
      </c>
      <c r="V159" t="s">
        <v>122</v>
      </c>
      <c r="W159" s="5">
        <v>22</v>
      </c>
      <c r="X159">
        <v>93</v>
      </c>
      <c r="Y159" s="6">
        <v>2046</v>
      </c>
      <c r="Z159" s="5">
        <v>200.50800000000001</v>
      </c>
    </row>
    <row r="160" spans="1:26" hidden="1">
      <c r="A160">
        <v>1182</v>
      </c>
      <c r="B160" s="4">
        <v>41816</v>
      </c>
      <c r="C160">
        <v>26</v>
      </c>
      <c r="D160" t="s">
        <v>151</v>
      </c>
      <c r="E160" t="s">
        <v>152</v>
      </c>
      <c r="F160" t="s">
        <v>125</v>
      </c>
      <c r="G160" t="s">
        <v>126</v>
      </c>
      <c r="H160">
        <v>99999</v>
      </c>
      <c r="I160" t="s">
        <v>40</v>
      </c>
      <c r="J160" t="s">
        <v>104</v>
      </c>
      <c r="K160" t="s">
        <v>105</v>
      </c>
      <c r="L160" s="4">
        <v>41818</v>
      </c>
      <c r="M160" t="s">
        <v>72</v>
      </c>
      <c r="N160" t="s">
        <v>153</v>
      </c>
      <c r="O160" t="s">
        <v>152</v>
      </c>
      <c r="P160" t="s">
        <v>125</v>
      </c>
      <c r="Q160" t="s">
        <v>126</v>
      </c>
      <c r="R160">
        <v>99999</v>
      </c>
      <c r="S160" t="s">
        <v>40</v>
      </c>
      <c r="T160" t="s">
        <v>58</v>
      </c>
      <c r="U160" t="s">
        <v>119</v>
      </c>
      <c r="V160" t="s">
        <v>120</v>
      </c>
      <c r="W160" s="5">
        <v>25</v>
      </c>
      <c r="X160">
        <v>18</v>
      </c>
      <c r="Y160" s="6">
        <v>450</v>
      </c>
      <c r="Z160" s="5">
        <v>42.75</v>
      </c>
    </row>
    <row r="161" spans="1:26" hidden="1">
      <c r="A161">
        <v>1183</v>
      </c>
      <c r="B161" s="4">
        <v>41819</v>
      </c>
      <c r="C161">
        <v>29</v>
      </c>
      <c r="D161" t="s">
        <v>76</v>
      </c>
      <c r="E161" t="s">
        <v>77</v>
      </c>
      <c r="F161" t="s">
        <v>78</v>
      </c>
      <c r="G161" t="s">
        <v>79</v>
      </c>
      <c r="H161">
        <v>99999</v>
      </c>
      <c r="I161" t="s">
        <v>40</v>
      </c>
      <c r="J161" t="s">
        <v>80</v>
      </c>
      <c r="K161" t="s">
        <v>42</v>
      </c>
      <c r="L161" s="4">
        <v>41821</v>
      </c>
      <c r="M161" t="s">
        <v>43</v>
      </c>
      <c r="N161" t="s">
        <v>81</v>
      </c>
      <c r="O161" t="s">
        <v>77</v>
      </c>
      <c r="P161" t="s">
        <v>78</v>
      </c>
      <c r="Q161" t="s">
        <v>79</v>
      </c>
      <c r="R161">
        <v>99999</v>
      </c>
      <c r="S161" t="s">
        <v>40</v>
      </c>
      <c r="T161" t="s">
        <v>45</v>
      </c>
      <c r="U161" t="s">
        <v>154</v>
      </c>
      <c r="V161" t="s">
        <v>155</v>
      </c>
      <c r="W161">
        <v>39</v>
      </c>
      <c r="X161">
        <v>98</v>
      </c>
      <c r="Y161" s="6">
        <v>3822</v>
      </c>
      <c r="Z161" s="5">
        <v>397.488</v>
      </c>
    </row>
    <row r="162" spans="1:26" hidden="1">
      <c r="A162">
        <v>1184</v>
      </c>
      <c r="B162" s="4">
        <v>41796</v>
      </c>
      <c r="C162">
        <v>6</v>
      </c>
      <c r="D162" t="s">
        <v>92</v>
      </c>
      <c r="E162" t="s">
        <v>93</v>
      </c>
      <c r="F162" t="s">
        <v>94</v>
      </c>
      <c r="G162" t="s">
        <v>95</v>
      </c>
      <c r="H162">
        <v>99999</v>
      </c>
      <c r="I162" t="s">
        <v>40</v>
      </c>
      <c r="J162" t="s">
        <v>96</v>
      </c>
      <c r="K162" t="s">
        <v>71</v>
      </c>
      <c r="L162" s="4">
        <v>41798</v>
      </c>
      <c r="M162" t="s">
        <v>72</v>
      </c>
      <c r="N162" t="s">
        <v>97</v>
      </c>
      <c r="O162" t="s">
        <v>93</v>
      </c>
      <c r="P162" t="s">
        <v>94</v>
      </c>
      <c r="Q162" t="s">
        <v>95</v>
      </c>
      <c r="R162">
        <v>99999</v>
      </c>
      <c r="S162" t="s">
        <v>40</v>
      </c>
      <c r="T162" t="s">
        <v>45</v>
      </c>
      <c r="U162" t="s">
        <v>59</v>
      </c>
      <c r="V162" t="s">
        <v>49</v>
      </c>
      <c r="W162">
        <v>30</v>
      </c>
      <c r="X162">
        <v>46</v>
      </c>
      <c r="Y162" s="6">
        <v>1380</v>
      </c>
      <c r="Z162" s="5">
        <v>135.24</v>
      </c>
    </row>
    <row r="163" spans="1:26" hidden="1">
      <c r="A163">
        <v>1185</v>
      </c>
      <c r="B163" s="4">
        <v>41796</v>
      </c>
      <c r="C163">
        <v>6</v>
      </c>
      <c r="D163" t="s">
        <v>92</v>
      </c>
      <c r="E163" t="s">
        <v>93</v>
      </c>
      <c r="F163" t="s">
        <v>94</v>
      </c>
      <c r="G163" t="s">
        <v>95</v>
      </c>
      <c r="H163">
        <v>99999</v>
      </c>
      <c r="I163" t="s">
        <v>40</v>
      </c>
      <c r="J163" t="s">
        <v>96</v>
      </c>
      <c r="K163" t="s">
        <v>71</v>
      </c>
      <c r="L163" s="4">
        <v>41798</v>
      </c>
      <c r="M163" t="s">
        <v>72</v>
      </c>
      <c r="N163" t="s">
        <v>97</v>
      </c>
      <c r="O163" t="s">
        <v>93</v>
      </c>
      <c r="P163" t="s">
        <v>94</v>
      </c>
      <c r="Q163" t="s">
        <v>95</v>
      </c>
      <c r="R163">
        <v>99999</v>
      </c>
      <c r="S163" t="s">
        <v>40</v>
      </c>
      <c r="T163" t="s">
        <v>45</v>
      </c>
      <c r="U163" t="s">
        <v>60</v>
      </c>
      <c r="V163" t="s">
        <v>49</v>
      </c>
      <c r="W163">
        <v>53</v>
      </c>
      <c r="X163">
        <v>14</v>
      </c>
      <c r="Y163" s="6">
        <v>742</v>
      </c>
      <c r="Z163" s="5">
        <v>74.2</v>
      </c>
    </row>
    <row r="164" spans="1:26" hidden="1">
      <c r="A164">
        <v>1186</v>
      </c>
      <c r="B164" s="4">
        <v>41794</v>
      </c>
      <c r="C164">
        <v>4</v>
      </c>
      <c r="D164" t="s">
        <v>50</v>
      </c>
      <c r="E164" t="s">
        <v>51</v>
      </c>
      <c r="F164" t="s">
        <v>52</v>
      </c>
      <c r="G164" t="s">
        <v>53</v>
      </c>
      <c r="H164">
        <v>99999</v>
      </c>
      <c r="I164" t="s">
        <v>40</v>
      </c>
      <c r="J164" t="s">
        <v>54</v>
      </c>
      <c r="K164" t="s">
        <v>55</v>
      </c>
      <c r="L164" s="4"/>
      <c r="N164" t="s">
        <v>57</v>
      </c>
      <c r="O164" t="s">
        <v>51</v>
      </c>
      <c r="P164" t="s">
        <v>52</v>
      </c>
      <c r="Q164" t="s">
        <v>53</v>
      </c>
      <c r="R164">
        <v>99999</v>
      </c>
      <c r="S164" t="s">
        <v>40</v>
      </c>
      <c r="U164" t="s">
        <v>156</v>
      </c>
      <c r="V164" t="s">
        <v>142</v>
      </c>
      <c r="W164">
        <v>38</v>
      </c>
      <c r="X164">
        <v>85</v>
      </c>
      <c r="Y164" s="6">
        <v>3230</v>
      </c>
      <c r="Z164" s="5">
        <v>319.77</v>
      </c>
    </row>
    <row r="165" spans="1:26" hidden="1">
      <c r="A165">
        <v>1187</v>
      </c>
      <c r="B165" s="4">
        <v>41793</v>
      </c>
      <c r="C165">
        <v>3</v>
      </c>
      <c r="D165" t="s">
        <v>84</v>
      </c>
      <c r="E165" t="s">
        <v>85</v>
      </c>
      <c r="F165" t="s">
        <v>86</v>
      </c>
      <c r="G165" t="s">
        <v>87</v>
      </c>
      <c r="H165">
        <v>99999</v>
      </c>
      <c r="I165" t="s">
        <v>40</v>
      </c>
      <c r="J165" t="s">
        <v>41</v>
      </c>
      <c r="K165" t="s">
        <v>42</v>
      </c>
      <c r="L165" s="4"/>
      <c r="N165" t="s">
        <v>88</v>
      </c>
      <c r="O165" t="s">
        <v>85</v>
      </c>
      <c r="P165" t="s">
        <v>86</v>
      </c>
      <c r="Q165" t="s">
        <v>87</v>
      </c>
      <c r="R165">
        <v>99999</v>
      </c>
      <c r="S165" t="s">
        <v>40</v>
      </c>
      <c r="U165" t="s">
        <v>113</v>
      </c>
      <c r="V165" t="s">
        <v>47</v>
      </c>
      <c r="W165">
        <v>2.99</v>
      </c>
      <c r="X165">
        <v>88</v>
      </c>
      <c r="Y165" s="6">
        <v>263.12</v>
      </c>
      <c r="Z165" s="5">
        <v>25.522639999999999</v>
      </c>
    </row>
    <row r="166" spans="1:26" hidden="1">
      <c r="A166">
        <v>1188</v>
      </c>
      <c r="B166" s="4">
        <v>41821</v>
      </c>
      <c r="C166">
        <v>1</v>
      </c>
      <c r="D166" t="s">
        <v>128</v>
      </c>
      <c r="E166" t="s">
        <v>129</v>
      </c>
      <c r="F166" t="s">
        <v>130</v>
      </c>
      <c r="G166" t="s">
        <v>131</v>
      </c>
      <c r="H166">
        <v>99999</v>
      </c>
      <c r="I166" t="s">
        <v>40</v>
      </c>
      <c r="J166" t="s">
        <v>70</v>
      </c>
      <c r="K166" t="s">
        <v>71</v>
      </c>
      <c r="L166" s="4"/>
      <c r="N166" t="s">
        <v>132</v>
      </c>
      <c r="O166" t="s">
        <v>129</v>
      </c>
      <c r="P166" t="s">
        <v>130</v>
      </c>
      <c r="Q166" t="s">
        <v>131</v>
      </c>
      <c r="R166">
        <v>99999</v>
      </c>
      <c r="S166" t="s">
        <v>40</v>
      </c>
      <c r="U166" t="s">
        <v>113</v>
      </c>
      <c r="V166" t="s">
        <v>47</v>
      </c>
      <c r="W166">
        <v>2.99</v>
      </c>
      <c r="X166">
        <v>81</v>
      </c>
      <c r="Y166" s="6">
        <v>242.19</v>
      </c>
      <c r="Z166" s="5">
        <v>23.97681</v>
      </c>
    </row>
    <row r="167" spans="1:26" hidden="1">
      <c r="A167">
        <v>1189</v>
      </c>
      <c r="B167" s="4">
        <v>41848</v>
      </c>
      <c r="C167">
        <v>28</v>
      </c>
      <c r="D167" t="s">
        <v>100</v>
      </c>
      <c r="E167" t="s">
        <v>101</v>
      </c>
      <c r="F167" t="s">
        <v>102</v>
      </c>
      <c r="G167" t="s">
        <v>103</v>
      </c>
      <c r="H167">
        <v>99999</v>
      </c>
      <c r="I167" t="s">
        <v>40</v>
      </c>
      <c r="J167" t="s">
        <v>104</v>
      </c>
      <c r="K167" t="s">
        <v>105</v>
      </c>
      <c r="L167" s="4">
        <v>41850</v>
      </c>
      <c r="M167" t="s">
        <v>72</v>
      </c>
      <c r="N167" t="s">
        <v>106</v>
      </c>
      <c r="O167" t="s">
        <v>101</v>
      </c>
      <c r="P167" t="s">
        <v>102</v>
      </c>
      <c r="Q167" t="s">
        <v>103</v>
      </c>
      <c r="R167">
        <v>99999</v>
      </c>
      <c r="S167" t="s">
        <v>40</v>
      </c>
      <c r="T167" t="s">
        <v>58</v>
      </c>
      <c r="U167" t="s">
        <v>90</v>
      </c>
      <c r="V167" t="s">
        <v>91</v>
      </c>
      <c r="W167">
        <v>9.65</v>
      </c>
      <c r="X167">
        <v>33</v>
      </c>
      <c r="Y167" s="6">
        <v>318.45</v>
      </c>
      <c r="Z167" s="5">
        <v>30.252749999999999</v>
      </c>
    </row>
    <row r="168" spans="1:26" hidden="1">
      <c r="A168">
        <v>1190</v>
      </c>
      <c r="B168" s="4">
        <v>41848</v>
      </c>
      <c r="C168">
        <v>28</v>
      </c>
      <c r="D168" t="s">
        <v>100</v>
      </c>
      <c r="E168" t="s">
        <v>101</v>
      </c>
      <c r="F168" t="s">
        <v>102</v>
      </c>
      <c r="G168" t="s">
        <v>103</v>
      </c>
      <c r="H168">
        <v>99999</v>
      </c>
      <c r="I168" t="s">
        <v>40</v>
      </c>
      <c r="J168" t="s">
        <v>104</v>
      </c>
      <c r="K168" t="s">
        <v>105</v>
      </c>
      <c r="L168" s="4">
        <v>41850</v>
      </c>
      <c r="M168" t="s">
        <v>72</v>
      </c>
      <c r="N168" t="s">
        <v>106</v>
      </c>
      <c r="O168" t="s">
        <v>101</v>
      </c>
      <c r="P168" t="s">
        <v>102</v>
      </c>
      <c r="Q168" t="s">
        <v>103</v>
      </c>
      <c r="R168">
        <v>99999</v>
      </c>
      <c r="S168" t="s">
        <v>40</v>
      </c>
      <c r="T168" t="s">
        <v>58</v>
      </c>
      <c r="U168" t="s">
        <v>133</v>
      </c>
      <c r="V168" t="s">
        <v>134</v>
      </c>
      <c r="W168">
        <v>18.399999999999999</v>
      </c>
      <c r="X168">
        <v>47</v>
      </c>
      <c r="Y168" s="6">
        <v>864.8</v>
      </c>
      <c r="Z168" s="5">
        <v>90.804000000000002</v>
      </c>
    </row>
    <row r="169" spans="1:26" hidden="1">
      <c r="A169">
        <v>1191</v>
      </c>
      <c r="B169" s="4">
        <v>41829</v>
      </c>
      <c r="C169">
        <v>9</v>
      </c>
      <c r="D169" t="s">
        <v>135</v>
      </c>
      <c r="E169" t="s">
        <v>136</v>
      </c>
      <c r="F169" t="s">
        <v>137</v>
      </c>
      <c r="G169" t="s">
        <v>138</v>
      </c>
      <c r="H169">
        <v>99999</v>
      </c>
      <c r="I169" t="s">
        <v>40</v>
      </c>
      <c r="J169" t="s">
        <v>139</v>
      </c>
      <c r="K169" t="s">
        <v>42</v>
      </c>
      <c r="L169" s="4">
        <v>41831</v>
      </c>
      <c r="M169" t="s">
        <v>56</v>
      </c>
      <c r="N169" t="s">
        <v>140</v>
      </c>
      <c r="O169" t="s">
        <v>136</v>
      </c>
      <c r="P169" t="s">
        <v>137</v>
      </c>
      <c r="Q169" t="s">
        <v>138</v>
      </c>
      <c r="R169">
        <v>99999</v>
      </c>
      <c r="S169" t="s">
        <v>40</v>
      </c>
      <c r="T169" t="s">
        <v>45</v>
      </c>
      <c r="U169" t="s">
        <v>141</v>
      </c>
      <c r="V169" t="s">
        <v>142</v>
      </c>
      <c r="W169">
        <v>19.5</v>
      </c>
      <c r="X169">
        <v>61</v>
      </c>
      <c r="Y169" s="6">
        <v>1189.5</v>
      </c>
      <c r="Z169" s="5">
        <v>123.708</v>
      </c>
    </row>
    <row r="170" spans="1:26" hidden="1">
      <c r="A170">
        <v>1192</v>
      </c>
      <c r="B170" s="4">
        <v>41829</v>
      </c>
      <c r="C170">
        <v>9</v>
      </c>
      <c r="D170" t="s">
        <v>135</v>
      </c>
      <c r="E170" t="s">
        <v>136</v>
      </c>
      <c r="F170" t="s">
        <v>137</v>
      </c>
      <c r="G170" t="s">
        <v>138</v>
      </c>
      <c r="H170">
        <v>99999</v>
      </c>
      <c r="I170" t="s">
        <v>40</v>
      </c>
      <c r="J170" t="s">
        <v>139</v>
      </c>
      <c r="K170" t="s">
        <v>42</v>
      </c>
      <c r="L170" s="4">
        <v>41831</v>
      </c>
      <c r="M170" t="s">
        <v>56</v>
      </c>
      <c r="N170" t="s">
        <v>140</v>
      </c>
      <c r="O170" t="s">
        <v>136</v>
      </c>
      <c r="P170" t="s">
        <v>137</v>
      </c>
      <c r="Q170" t="s">
        <v>138</v>
      </c>
      <c r="R170">
        <v>99999</v>
      </c>
      <c r="S170" t="s">
        <v>40</v>
      </c>
      <c r="T170" t="s">
        <v>45</v>
      </c>
      <c r="U170" t="s">
        <v>143</v>
      </c>
      <c r="V170" t="s">
        <v>144</v>
      </c>
      <c r="W170">
        <v>34.799999999999997</v>
      </c>
      <c r="X170">
        <v>27</v>
      </c>
      <c r="Y170" s="6">
        <v>939.6</v>
      </c>
      <c r="Z170" s="5">
        <v>95.839200000000005</v>
      </c>
    </row>
    <row r="171" spans="1:26" hidden="1">
      <c r="A171">
        <v>1193</v>
      </c>
      <c r="B171" s="4">
        <v>41826</v>
      </c>
      <c r="C171">
        <v>6</v>
      </c>
      <c r="D171" t="s">
        <v>92</v>
      </c>
      <c r="E171" t="s">
        <v>93</v>
      </c>
      <c r="F171" t="s">
        <v>94</v>
      </c>
      <c r="G171" t="s">
        <v>95</v>
      </c>
      <c r="H171">
        <v>99999</v>
      </c>
      <c r="I171" t="s">
        <v>40</v>
      </c>
      <c r="J171" t="s">
        <v>96</v>
      </c>
      <c r="K171" t="s">
        <v>71</v>
      </c>
      <c r="L171" s="4">
        <v>41828</v>
      </c>
      <c r="M171" t="s">
        <v>43</v>
      </c>
      <c r="N171" t="s">
        <v>97</v>
      </c>
      <c r="O171" t="s">
        <v>93</v>
      </c>
      <c r="P171" t="s">
        <v>94</v>
      </c>
      <c r="Q171" t="s">
        <v>95</v>
      </c>
      <c r="R171">
        <v>99999</v>
      </c>
      <c r="S171" t="s">
        <v>40</v>
      </c>
      <c r="T171" t="s">
        <v>58</v>
      </c>
      <c r="U171" t="s">
        <v>46</v>
      </c>
      <c r="V171" t="s">
        <v>47</v>
      </c>
      <c r="W171">
        <v>14</v>
      </c>
      <c r="X171">
        <v>84</v>
      </c>
      <c r="Y171" s="6">
        <v>1176</v>
      </c>
      <c r="Z171" s="5">
        <v>118.776</v>
      </c>
    </row>
    <row r="172" spans="1:26" hidden="1">
      <c r="A172">
        <v>1194</v>
      </c>
      <c r="B172" s="4">
        <v>41828</v>
      </c>
      <c r="C172">
        <v>8</v>
      </c>
      <c r="D172" t="s">
        <v>66</v>
      </c>
      <c r="E172" t="s">
        <v>67</v>
      </c>
      <c r="F172" t="s">
        <v>68</v>
      </c>
      <c r="G172" t="s">
        <v>69</v>
      </c>
      <c r="H172">
        <v>99999</v>
      </c>
      <c r="I172" t="s">
        <v>40</v>
      </c>
      <c r="J172" t="s">
        <v>70</v>
      </c>
      <c r="K172" t="s">
        <v>71</v>
      </c>
      <c r="L172" s="4">
        <v>41830</v>
      </c>
      <c r="M172" t="s">
        <v>43</v>
      </c>
      <c r="N172" t="s">
        <v>73</v>
      </c>
      <c r="O172" t="s">
        <v>67</v>
      </c>
      <c r="P172" t="s">
        <v>68</v>
      </c>
      <c r="Q172" t="s">
        <v>69</v>
      </c>
      <c r="R172">
        <v>99999</v>
      </c>
      <c r="S172" t="s">
        <v>40</v>
      </c>
      <c r="T172" t="s">
        <v>45</v>
      </c>
      <c r="U172" t="s">
        <v>98</v>
      </c>
      <c r="V172" t="s">
        <v>99</v>
      </c>
      <c r="W172">
        <v>40</v>
      </c>
      <c r="X172">
        <v>91</v>
      </c>
      <c r="Y172" s="6">
        <v>3640</v>
      </c>
      <c r="Z172" s="5">
        <v>360.36</v>
      </c>
    </row>
    <row r="173" spans="1:26">
      <c r="A173">
        <v>1195</v>
      </c>
      <c r="B173" s="4">
        <v>41828</v>
      </c>
      <c r="C173">
        <v>8</v>
      </c>
      <c r="D173" t="s">
        <v>66</v>
      </c>
      <c r="E173" t="s">
        <v>67</v>
      </c>
      <c r="F173" t="s">
        <v>68</v>
      </c>
      <c r="G173" t="s">
        <v>69</v>
      </c>
      <c r="H173">
        <v>99999</v>
      </c>
      <c r="I173" t="s">
        <v>40</v>
      </c>
      <c r="J173" t="s">
        <v>70</v>
      </c>
      <c r="K173" t="s">
        <v>71</v>
      </c>
      <c r="L173" s="4">
        <v>41830</v>
      </c>
      <c r="M173" t="s">
        <v>43</v>
      </c>
      <c r="N173" t="s">
        <v>73</v>
      </c>
      <c r="O173" t="s">
        <v>67</v>
      </c>
      <c r="P173" t="s">
        <v>68</v>
      </c>
      <c r="Q173" t="s">
        <v>69</v>
      </c>
      <c r="R173">
        <v>99999</v>
      </c>
      <c r="S173" t="s">
        <v>40</v>
      </c>
      <c r="T173" t="s">
        <v>45</v>
      </c>
      <c r="U173" t="s">
        <v>74</v>
      </c>
      <c r="V173" t="s">
        <v>75</v>
      </c>
      <c r="W173">
        <v>9.1999999999999993</v>
      </c>
      <c r="X173">
        <v>36</v>
      </c>
      <c r="Y173" s="6">
        <v>331.2</v>
      </c>
      <c r="Z173" s="5">
        <v>34.444800000000001</v>
      </c>
    </row>
    <row r="174" spans="1:26">
      <c r="A174">
        <v>1196</v>
      </c>
      <c r="B174" s="4">
        <v>41845</v>
      </c>
      <c r="C174">
        <v>25</v>
      </c>
      <c r="D174" t="s">
        <v>148</v>
      </c>
      <c r="E174" t="s">
        <v>149</v>
      </c>
      <c r="F174" t="s">
        <v>109</v>
      </c>
      <c r="G174" t="s">
        <v>110</v>
      </c>
      <c r="H174">
        <v>99999</v>
      </c>
      <c r="I174" t="s">
        <v>40</v>
      </c>
      <c r="J174" t="s">
        <v>111</v>
      </c>
      <c r="K174" t="s">
        <v>55</v>
      </c>
      <c r="L174">
        <v>41847</v>
      </c>
      <c r="M174" t="s">
        <v>56</v>
      </c>
      <c r="N174" t="s">
        <v>150</v>
      </c>
      <c r="O174" t="s">
        <v>149</v>
      </c>
      <c r="P174" t="s">
        <v>109</v>
      </c>
      <c r="Q174" t="s">
        <v>110</v>
      </c>
      <c r="R174">
        <v>99999</v>
      </c>
      <c r="S174" t="s">
        <v>40</v>
      </c>
      <c r="T174" t="s">
        <v>89</v>
      </c>
      <c r="U174" t="s">
        <v>157</v>
      </c>
      <c r="V174" t="s">
        <v>75</v>
      </c>
      <c r="W174">
        <v>10</v>
      </c>
      <c r="X174">
        <v>34</v>
      </c>
      <c r="Y174" s="6">
        <v>340</v>
      </c>
      <c r="Z174" s="5">
        <v>34.340000000000003</v>
      </c>
    </row>
    <row r="175" spans="1:26" hidden="1">
      <c r="A175">
        <v>1197</v>
      </c>
      <c r="B175" s="4">
        <v>41846</v>
      </c>
      <c r="C175">
        <v>26</v>
      </c>
      <c r="D175" t="s">
        <v>151</v>
      </c>
      <c r="E175" t="s">
        <v>152</v>
      </c>
      <c r="F175" t="s">
        <v>125</v>
      </c>
      <c r="G175" t="s">
        <v>126</v>
      </c>
      <c r="H175">
        <v>99999</v>
      </c>
      <c r="I175" t="s">
        <v>40</v>
      </c>
      <c r="J175" t="s">
        <v>104</v>
      </c>
      <c r="K175" t="s">
        <v>105</v>
      </c>
      <c r="L175">
        <v>41848</v>
      </c>
      <c r="M175" t="s">
        <v>72</v>
      </c>
      <c r="N175" t="s">
        <v>153</v>
      </c>
      <c r="O175" t="s">
        <v>152</v>
      </c>
      <c r="P175" t="s">
        <v>125</v>
      </c>
      <c r="Q175" t="s">
        <v>126</v>
      </c>
      <c r="R175">
        <v>99999</v>
      </c>
      <c r="S175" t="s">
        <v>40</v>
      </c>
      <c r="T175" t="s">
        <v>58</v>
      </c>
      <c r="U175" t="s">
        <v>158</v>
      </c>
      <c r="V175" t="s">
        <v>159</v>
      </c>
      <c r="W175">
        <v>21.35</v>
      </c>
      <c r="X175">
        <v>81</v>
      </c>
      <c r="Y175" s="6">
        <v>1729.35</v>
      </c>
      <c r="Z175" s="5">
        <v>178.12305000000001</v>
      </c>
    </row>
    <row r="176" spans="1:26" hidden="1">
      <c r="A176">
        <v>1198</v>
      </c>
      <c r="B176" s="4">
        <v>41846</v>
      </c>
      <c r="C176">
        <v>26</v>
      </c>
      <c r="D176" t="s">
        <v>151</v>
      </c>
      <c r="E176" t="s">
        <v>152</v>
      </c>
      <c r="F176" t="s">
        <v>125</v>
      </c>
      <c r="G176" t="s">
        <v>126</v>
      </c>
      <c r="H176">
        <v>99999</v>
      </c>
      <c r="I176" t="s">
        <v>40</v>
      </c>
      <c r="J176" t="s">
        <v>104</v>
      </c>
      <c r="K176" t="s">
        <v>105</v>
      </c>
      <c r="L176">
        <v>41848</v>
      </c>
      <c r="M176" t="s">
        <v>72</v>
      </c>
      <c r="N176" t="s">
        <v>153</v>
      </c>
      <c r="O176" t="s">
        <v>152</v>
      </c>
      <c r="P176" t="s">
        <v>125</v>
      </c>
      <c r="Q176" t="s">
        <v>126</v>
      </c>
      <c r="R176">
        <v>99999</v>
      </c>
      <c r="S176" t="s">
        <v>40</v>
      </c>
      <c r="T176" t="s">
        <v>58</v>
      </c>
      <c r="U176" t="s">
        <v>90</v>
      </c>
      <c r="V176" t="s">
        <v>91</v>
      </c>
      <c r="W176">
        <v>9.65</v>
      </c>
      <c r="X176">
        <v>25</v>
      </c>
      <c r="Y176" s="6">
        <v>241.25</v>
      </c>
      <c r="Z176" s="5">
        <v>23.401250000000001</v>
      </c>
    </row>
    <row r="177" spans="1:26" hidden="1">
      <c r="A177">
        <v>1199</v>
      </c>
      <c r="B177" s="4">
        <v>41846</v>
      </c>
      <c r="C177">
        <v>26</v>
      </c>
      <c r="D177" t="s">
        <v>151</v>
      </c>
      <c r="E177" t="s">
        <v>152</v>
      </c>
      <c r="F177" t="s">
        <v>125</v>
      </c>
      <c r="G177" t="s">
        <v>126</v>
      </c>
      <c r="H177">
        <v>99999</v>
      </c>
      <c r="I177" t="s">
        <v>40</v>
      </c>
      <c r="J177" t="s">
        <v>104</v>
      </c>
      <c r="K177" t="s">
        <v>105</v>
      </c>
      <c r="L177">
        <v>41848</v>
      </c>
      <c r="M177" t="s">
        <v>72</v>
      </c>
      <c r="N177" t="s">
        <v>153</v>
      </c>
      <c r="O177" t="s">
        <v>152</v>
      </c>
      <c r="P177" t="s">
        <v>125</v>
      </c>
      <c r="Q177" t="s">
        <v>126</v>
      </c>
      <c r="R177">
        <v>99999</v>
      </c>
      <c r="S177" t="s">
        <v>40</v>
      </c>
      <c r="T177" t="s">
        <v>58</v>
      </c>
      <c r="U177" t="s">
        <v>133</v>
      </c>
      <c r="V177" t="s">
        <v>134</v>
      </c>
      <c r="W177">
        <v>18.399999999999999</v>
      </c>
      <c r="X177">
        <v>12</v>
      </c>
      <c r="Y177" s="6">
        <v>220.8</v>
      </c>
      <c r="Z177" s="5">
        <v>22.08</v>
      </c>
    </row>
    <row r="178" spans="1:26" hidden="1">
      <c r="A178">
        <v>1200</v>
      </c>
      <c r="B178" s="4">
        <v>41849</v>
      </c>
      <c r="C178">
        <v>29</v>
      </c>
      <c r="D178" t="s">
        <v>76</v>
      </c>
      <c r="E178" t="s">
        <v>77</v>
      </c>
      <c r="F178" t="s">
        <v>78</v>
      </c>
      <c r="G178" t="s">
        <v>79</v>
      </c>
      <c r="H178">
        <v>99999</v>
      </c>
      <c r="I178" t="s">
        <v>40</v>
      </c>
      <c r="J178" t="s">
        <v>80</v>
      </c>
      <c r="K178" t="s">
        <v>42</v>
      </c>
      <c r="L178" s="4">
        <v>41851</v>
      </c>
      <c r="M178" t="s">
        <v>43</v>
      </c>
      <c r="N178" t="s">
        <v>81</v>
      </c>
      <c r="O178" t="s">
        <v>77</v>
      </c>
      <c r="P178" t="s">
        <v>78</v>
      </c>
      <c r="Q178" t="s">
        <v>79</v>
      </c>
      <c r="R178">
        <v>99999</v>
      </c>
      <c r="S178" t="s">
        <v>40</v>
      </c>
      <c r="T178" t="s">
        <v>45</v>
      </c>
      <c r="U178" t="s">
        <v>46</v>
      </c>
      <c r="V178" t="s">
        <v>47</v>
      </c>
      <c r="W178">
        <v>14</v>
      </c>
      <c r="X178">
        <v>23</v>
      </c>
      <c r="Y178" s="6">
        <v>322</v>
      </c>
      <c r="Z178" s="5">
        <v>30.911999999999999</v>
      </c>
    </row>
    <row r="179" spans="1:26" hidden="1">
      <c r="A179">
        <v>1201</v>
      </c>
      <c r="B179" s="4">
        <v>41826</v>
      </c>
      <c r="C179">
        <v>6</v>
      </c>
      <c r="D179" t="s">
        <v>92</v>
      </c>
      <c r="E179" t="s">
        <v>93</v>
      </c>
      <c r="F179" t="s">
        <v>94</v>
      </c>
      <c r="G179" t="s">
        <v>95</v>
      </c>
      <c r="H179">
        <v>99999</v>
      </c>
      <c r="I179" t="s">
        <v>40</v>
      </c>
      <c r="J179" t="s">
        <v>96</v>
      </c>
      <c r="K179" t="s">
        <v>71</v>
      </c>
      <c r="L179" s="4">
        <v>41828</v>
      </c>
      <c r="M179" t="s">
        <v>72</v>
      </c>
      <c r="N179" t="s">
        <v>97</v>
      </c>
      <c r="O179" t="s">
        <v>93</v>
      </c>
      <c r="P179" t="s">
        <v>94</v>
      </c>
      <c r="Q179" t="s">
        <v>95</v>
      </c>
      <c r="R179">
        <v>99999</v>
      </c>
      <c r="S179" t="s">
        <v>40</v>
      </c>
      <c r="T179" t="s">
        <v>45</v>
      </c>
      <c r="U179" t="s">
        <v>82</v>
      </c>
      <c r="V179" t="s">
        <v>83</v>
      </c>
      <c r="W179">
        <v>12.75</v>
      </c>
      <c r="X179">
        <v>76</v>
      </c>
      <c r="Y179" s="6">
        <v>969</v>
      </c>
      <c r="Z179" s="5">
        <v>97.869</v>
      </c>
    </row>
    <row r="180" spans="1:26" hidden="1">
      <c r="A180">
        <v>1203</v>
      </c>
      <c r="B180" s="4">
        <v>41824</v>
      </c>
      <c r="C180">
        <v>4</v>
      </c>
      <c r="D180" t="s">
        <v>50</v>
      </c>
      <c r="E180" t="s">
        <v>51</v>
      </c>
      <c r="F180" t="s">
        <v>52</v>
      </c>
      <c r="G180" t="s">
        <v>53</v>
      </c>
      <c r="H180">
        <v>99999</v>
      </c>
      <c r="I180" t="s">
        <v>40</v>
      </c>
      <c r="J180" t="s">
        <v>54</v>
      </c>
      <c r="K180" t="s">
        <v>55</v>
      </c>
      <c r="L180" s="4">
        <v>41826</v>
      </c>
      <c r="M180" t="s">
        <v>56</v>
      </c>
      <c r="N180" t="s">
        <v>57</v>
      </c>
      <c r="O180" t="s">
        <v>51</v>
      </c>
      <c r="P180" t="s">
        <v>52</v>
      </c>
      <c r="Q180" t="s">
        <v>53</v>
      </c>
      <c r="R180">
        <v>99999</v>
      </c>
      <c r="S180" t="s">
        <v>40</v>
      </c>
      <c r="T180" t="s">
        <v>58</v>
      </c>
      <c r="U180" t="s">
        <v>160</v>
      </c>
      <c r="V180" t="s">
        <v>120</v>
      </c>
      <c r="W180">
        <v>81</v>
      </c>
      <c r="X180">
        <v>55</v>
      </c>
      <c r="Y180" s="6">
        <v>4455</v>
      </c>
      <c r="Z180" s="5">
        <v>445.5</v>
      </c>
    </row>
    <row r="181" spans="1:26" hidden="1">
      <c r="A181">
        <v>1204</v>
      </c>
      <c r="B181" s="4">
        <v>41824</v>
      </c>
      <c r="C181">
        <v>4</v>
      </c>
      <c r="D181" t="s">
        <v>50</v>
      </c>
      <c r="E181" t="s">
        <v>51</v>
      </c>
      <c r="F181" t="s">
        <v>52</v>
      </c>
      <c r="G181" t="s">
        <v>53</v>
      </c>
      <c r="H181">
        <v>99999</v>
      </c>
      <c r="I181" t="s">
        <v>40</v>
      </c>
      <c r="J181" t="s">
        <v>54</v>
      </c>
      <c r="K181" t="s">
        <v>55</v>
      </c>
      <c r="L181" s="4">
        <v>41826</v>
      </c>
      <c r="M181" t="s">
        <v>56</v>
      </c>
      <c r="N181" t="s">
        <v>57</v>
      </c>
      <c r="O181" t="s">
        <v>51</v>
      </c>
      <c r="P181" t="s">
        <v>52</v>
      </c>
      <c r="Q181" t="s">
        <v>53</v>
      </c>
      <c r="R181">
        <v>99999</v>
      </c>
      <c r="S181" t="s">
        <v>40</v>
      </c>
      <c r="T181" t="s">
        <v>58</v>
      </c>
      <c r="U181" t="s">
        <v>161</v>
      </c>
      <c r="V181" t="s">
        <v>162</v>
      </c>
      <c r="W181">
        <v>7</v>
      </c>
      <c r="X181">
        <v>19</v>
      </c>
      <c r="Y181" s="6">
        <v>133</v>
      </c>
      <c r="Z181" s="5">
        <v>12.901</v>
      </c>
    </row>
    <row r="182" spans="1:26" hidden="1">
      <c r="A182">
        <v>1206</v>
      </c>
      <c r="B182" s="4">
        <v>41828</v>
      </c>
      <c r="C182">
        <v>8</v>
      </c>
      <c r="D182" t="s">
        <v>66</v>
      </c>
      <c r="E182" t="s">
        <v>67</v>
      </c>
      <c r="F182" t="s">
        <v>68</v>
      </c>
      <c r="G182" t="s">
        <v>69</v>
      </c>
      <c r="H182">
        <v>99999</v>
      </c>
      <c r="I182" t="s">
        <v>40</v>
      </c>
      <c r="J182" t="s">
        <v>70</v>
      </c>
      <c r="K182" t="s">
        <v>71</v>
      </c>
      <c r="L182" s="4">
        <v>41830</v>
      </c>
      <c r="M182" t="s">
        <v>72</v>
      </c>
      <c r="N182" t="s">
        <v>73</v>
      </c>
      <c r="O182" t="s">
        <v>67</v>
      </c>
      <c r="P182" t="s">
        <v>68</v>
      </c>
      <c r="Q182" t="s">
        <v>69</v>
      </c>
      <c r="R182">
        <v>99999</v>
      </c>
      <c r="S182" t="s">
        <v>40</v>
      </c>
      <c r="T182" t="s">
        <v>58</v>
      </c>
      <c r="U182" t="s">
        <v>143</v>
      </c>
      <c r="V182" t="s">
        <v>144</v>
      </c>
      <c r="W182">
        <v>34.799999999999997</v>
      </c>
      <c r="X182">
        <v>27</v>
      </c>
      <c r="Y182" s="6">
        <v>939.6</v>
      </c>
      <c r="Z182" s="5">
        <v>89.262</v>
      </c>
    </row>
    <row r="183" spans="1:26" hidden="1">
      <c r="A183">
        <v>1209</v>
      </c>
      <c r="B183" s="4">
        <v>41823</v>
      </c>
      <c r="C183">
        <v>3</v>
      </c>
      <c r="D183" t="s">
        <v>84</v>
      </c>
      <c r="E183" t="s">
        <v>85</v>
      </c>
      <c r="F183" t="s">
        <v>86</v>
      </c>
      <c r="G183" t="s">
        <v>87</v>
      </c>
      <c r="H183">
        <v>99999</v>
      </c>
      <c r="I183" t="s">
        <v>40</v>
      </c>
      <c r="J183" t="s">
        <v>41</v>
      </c>
      <c r="K183" t="s">
        <v>42</v>
      </c>
      <c r="L183" s="4">
        <v>41825</v>
      </c>
      <c r="M183" t="s">
        <v>43</v>
      </c>
      <c r="N183" t="s">
        <v>88</v>
      </c>
      <c r="O183" t="s">
        <v>85</v>
      </c>
      <c r="P183" t="s">
        <v>86</v>
      </c>
      <c r="Q183" t="s">
        <v>87</v>
      </c>
      <c r="R183">
        <v>99999</v>
      </c>
      <c r="S183" t="s">
        <v>40</v>
      </c>
      <c r="T183" t="s">
        <v>89</v>
      </c>
      <c r="U183" t="s">
        <v>145</v>
      </c>
      <c r="V183" t="s">
        <v>122</v>
      </c>
      <c r="W183">
        <v>10</v>
      </c>
      <c r="X183">
        <v>99</v>
      </c>
      <c r="Y183" s="6">
        <v>990</v>
      </c>
      <c r="Z183" s="5">
        <v>95.04</v>
      </c>
    </row>
    <row r="184" spans="1:26" hidden="1">
      <c r="A184">
        <v>1210</v>
      </c>
      <c r="B184" s="4">
        <v>41823</v>
      </c>
      <c r="C184">
        <v>3</v>
      </c>
      <c r="D184" t="s">
        <v>84</v>
      </c>
      <c r="E184" t="s">
        <v>85</v>
      </c>
      <c r="F184" t="s">
        <v>86</v>
      </c>
      <c r="G184" t="s">
        <v>87</v>
      </c>
      <c r="H184">
        <v>99999</v>
      </c>
      <c r="I184" t="s">
        <v>40</v>
      </c>
      <c r="J184" t="s">
        <v>41</v>
      </c>
      <c r="K184" t="s">
        <v>42</v>
      </c>
      <c r="L184" s="4">
        <v>41825</v>
      </c>
      <c r="M184" t="s">
        <v>43</v>
      </c>
      <c r="N184" t="s">
        <v>88</v>
      </c>
      <c r="O184" t="s">
        <v>85</v>
      </c>
      <c r="P184" t="s">
        <v>86</v>
      </c>
      <c r="Q184" t="s">
        <v>87</v>
      </c>
      <c r="R184">
        <v>99999</v>
      </c>
      <c r="S184" t="s">
        <v>40</v>
      </c>
      <c r="T184" t="s">
        <v>89</v>
      </c>
      <c r="U184" t="s">
        <v>98</v>
      </c>
      <c r="V184" t="s">
        <v>99</v>
      </c>
      <c r="W184">
        <v>40</v>
      </c>
      <c r="X184">
        <v>10</v>
      </c>
      <c r="Y184" s="6">
        <v>400</v>
      </c>
      <c r="Z184" s="5">
        <v>40</v>
      </c>
    </row>
    <row r="185" spans="1:26" hidden="1">
      <c r="A185">
        <v>1214</v>
      </c>
      <c r="B185" s="4">
        <v>41830</v>
      </c>
      <c r="C185">
        <v>10</v>
      </c>
      <c r="D185" t="s">
        <v>107</v>
      </c>
      <c r="E185" t="s">
        <v>108</v>
      </c>
      <c r="F185" t="s">
        <v>109</v>
      </c>
      <c r="G185" t="s">
        <v>110</v>
      </c>
      <c r="H185">
        <v>99999</v>
      </c>
      <c r="I185" t="s">
        <v>40</v>
      </c>
      <c r="J185" t="s">
        <v>111</v>
      </c>
      <c r="K185" t="s">
        <v>55</v>
      </c>
      <c r="L185" s="4">
        <v>41832</v>
      </c>
      <c r="M185" t="s">
        <v>43</v>
      </c>
      <c r="N185" t="s">
        <v>112</v>
      </c>
      <c r="O185" t="s">
        <v>108</v>
      </c>
      <c r="P185" t="s">
        <v>109</v>
      </c>
      <c r="Q185" t="s">
        <v>110</v>
      </c>
      <c r="R185">
        <v>99999</v>
      </c>
      <c r="S185" t="s">
        <v>40</v>
      </c>
      <c r="T185" t="s">
        <v>58</v>
      </c>
      <c r="U185" t="s">
        <v>147</v>
      </c>
      <c r="V185" t="s">
        <v>49</v>
      </c>
      <c r="W185">
        <v>10</v>
      </c>
      <c r="X185">
        <v>80</v>
      </c>
      <c r="Y185" s="6">
        <v>800</v>
      </c>
      <c r="Z185" s="5">
        <v>77.599999999999994</v>
      </c>
    </row>
    <row r="186" spans="1:26" hidden="1">
      <c r="A186">
        <v>1216</v>
      </c>
      <c r="B186" s="4">
        <v>41830</v>
      </c>
      <c r="C186">
        <v>10</v>
      </c>
      <c r="D186" t="s">
        <v>107</v>
      </c>
      <c r="E186" t="s">
        <v>108</v>
      </c>
      <c r="F186" t="s">
        <v>109</v>
      </c>
      <c r="G186" t="s">
        <v>110</v>
      </c>
      <c r="H186">
        <v>99999</v>
      </c>
      <c r="I186" t="s">
        <v>40</v>
      </c>
      <c r="J186" t="s">
        <v>111</v>
      </c>
      <c r="K186" t="s">
        <v>55</v>
      </c>
      <c r="L186" s="4"/>
      <c r="M186" t="s">
        <v>56</v>
      </c>
      <c r="N186" t="s">
        <v>112</v>
      </c>
      <c r="O186" t="s">
        <v>108</v>
      </c>
      <c r="P186" t="s">
        <v>109</v>
      </c>
      <c r="Q186" t="s">
        <v>110</v>
      </c>
      <c r="R186">
        <v>99999</v>
      </c>
      <c r="S186" t="s">
        <v>40</v>
      </c>
      <c r="U186" t="s">
        <v>48</v>
      </c>
      <c r="V186" t="s">
        <v>49</v>
      </c>
      <c r="W186">
        <v>3.5</v>
      </c>
      <c r="X186">
        <v>27</v>
      </c>
      <c r="Y186" s="6">
        <v>94.5</v>
      </c>
      <c r="Z186" s="5">
        <v>9.0719999999999992</v>
      </c>
    </row>
    <row r="187" spans="1:26" hidden="1">
      <c r="A187">
        <v>1217</v>
      </c>
      <c r="B187" s="4">
        <v>41831</v>
      </c>
      <c r="C187">
        <v>11</v>
      </c>
      <c r="D187" t="s">
        <v>123</v>
      </c>
      <c r="E187" t="s">
        <v>124</v>
      </c>
      <c r="F187" t="s">
        <v>125</v>
      </c>
      <c r="G187" t="s">
        <v>126</v>
      </c>
      <c r="H187">
        <v>99999</v>
      </c>
      <c r="I187" t="s">
        <v>40</v>
      </c>
      <c r="J187" t="s">
        <v>104</v>
      </c>
      <c r="K187" t="s">
        <v>105</v>
      </c>
      <c r="M187" t="s">
        <v>72</v>
      </c>
      <c r="N187" t="s">
        <v>127</v>
      </c>
      <c r="O187" t="s">
        <v>124</v>
      </c>
      <c r="P187" t="s">
        <v>125</v>
      </c>
      <c r="Q187" t="s">
        <v>126</v>
      </c>
      <c r="R187">
        <v>99999</v>
      </c>
      <c r="S187" t="s">
        <v>40</v>
      </c>
      <c r="U187" t="s">
        <v>98</v>
      </c>
      <c r="V187" t="s">
        <v>99</v>
      </c>
      <c r="W187">
        <v>40</v>
      </c>
      <c r="X187">
        <v>97</v>
      </c>
      <c r="Y187" s="6">
        <v>3880</v>
      </c>
      <c r="Z187" s="5">
        <v>380.24</v>
      </c>
    </row>
    <row r="188" spans="1:26" hidden="1">
      <c r="A188">
        <v>1218</v>
      </c>
      <c r="B188" s="4">
        <v>41821</v>
      </c>
      <c r="C188">
        <v>1</v>
      </c>
      <c r="D188" t="s">
        <v>128</v>
      </c>
      <c r="E188" t="s">
        <v>129</v>
      </c>
      <c r="F188" t="s">
        <v>130</v>
      </c>
      <c r="G188" t="s">
        <v>131</v>
      </c>
      <c r="H188">
        <v>99999</v>
      </c>
      <c r="I188" t="s">
        <v>40</v>
      </c>
      <c r="J188" t="s">
        <v>70</v>
      </c>
      <c r="K188" t="s">
        <v>71</v>
      </c>
      <c r="M188" t="s">
        <v>72</v>
      </c>
      <c r="N188" t="s">
        <v>132</v>
      </c>
      <c r="O188" t="s">
        <v>129</v>
      </c>
      <c r="P188" t="s">
        <v>130</v>
      </c>
      <c r="Q188" t="s">
        <v>131</v>
      </c>
      <c r="R188">
        <v>99999</v>
      </c>
      <c r="S188" t="s">
        <v>40</v>
      </c>
      <c r="U188" t="s">
        <v>133</v>
      </c>
      <c r="V188" t="s">
        <v>134</v>
      </c>
      <c r="W188">
        <v>18.399999999999999</v>
      </c>
      <c r="X188">
        <v>42</v>
      </c>
      <c r="Y188" s="6">
        <v>772.8</v>
      </c>
      <c r="Z188" s="5">
        <v>80.371200000000002</v>
      </c>
    </row>
    <row r="189" spans="1:26" hidden="1">
      <c r="A189">
        <v>1219</v>
      </c>
      <c r="B189" s="4">
        <v>41848</v>
      </c>
      <c r="C189">
        <v>28</v>
      </c>
      <c r="D189" t="s">
        <v>100</v>
      </c>
      <c r="E189" t="s">
        <v>101</v>
      </c>
      <c r="F189" t="s">
        <v>102</v>
      </c>
      <c r="G189" t="s">
        <v>103</v>
      </c>
      <c r="H189">
        <v>99999</v>
      </c>
      <c r="I189" t="s">
        <v>40</v>
      </c>
      <c r="J189" t="s">
        <v>104</v>
      </c>
      <c r="K189" t="s">
        <v>105</v>
      </c>
      <c r="L189">
        <v>41850</v>
      </c>
      <c r="M189" t="s">
        <v>72</v>
      </c>
      <c r="N189" t="s">
        <v>106</v>
      </c>
      <c r="O189" t="s">
        <v>101</v>
      </c>
      <c r="P189" t="s">
        <v>102</v>
      </c>
      <c r="Q189" t="s">
        <v>103</v>
      </c>
      <c r="R189">
        <v>99999</v>
      </c>
      <c r="S189" t="s">
        <v>40</v>
      </c>
      <c r="T189" t="s">
        <v>58</v>
      </c>
      <c r="U189" t="s">
        <v>65</v>
      </c>
      <c r="V189" t="s">
        <v>47</v>
      </c>
      <c r="W189" s="5">
        <v>46</v>
      </c>
      <c r="X189">
        <v>24</v>
      </c>
      <c r="Y189" s="6">
        <v>1104</v>
      </c>
      <c r="Z189" s="5">
        <v>105.98399999999999</v>
      </c>
    </row>
    <row r="190" spans="1:26" hidden="1">
      <c r="A190">
        <v>1220</v>
      </c>
      <c r="B190" s="4">
        <v>41829</v>
      </c>
      <c r="C190">
        <v>9</v>
      </c>
      <c r="D190" t="s">
        <v>135</v>
      </c>
      <c r="E190" t="s">
        <v>136</v>
      </c>
      <c r="F190" t="s">
        <v>137</v>
      </c>
      <c r="G190" t="s">
        <v>138</v>
      </c>
      <c r="H190">
        <v>99999</v>
      </c>
      <c r="I190" t="s">
        <v>40</v>
      </c>
      <c r="J190" t="s">
        <v>139</v>
      </c>
      <c r="K190" t="s">
        <v>42</v>
      </c>
      <c r="L190" s="4">
        <v>41831</v>
      </c>
      <c r="M190" t="s">
        <v>56</v>
      </c>
      <c r="N190" t="s">
        <v>140</v>
      </c>
      <c r="O190" t="s">
        <v>136</v>
      </c>
      <c r="P190" t="s">
        <v>137</v>
      </c>
      <c r="Q190" t="s">
        <v>138</v>
      </c>
      <c r="R190">
        <v>99999</v>
      </c>
      <c r="S190" t="s">
        <v>40</v>
      </c>
      <c r="T190" t="s">
        <v>45</v>
      </c>
      <c r="U190" t="s">
        <v>90</v>
      </c>
      <c r="V190" t="s">
        <v>91</v>
      </c>
      <c r="W190" s="5">
        <v>9.65</v>
      </c>
      <c r="X190">
        <v>90</v>
      </c>
      <c r="Y190" s="6">
        <v>868.5</v>
      </c>
      <c r="Z190" s="5">
        <v>83.376000000000005</v>
      </c>
    </row>
    <row r="191" spans="1:26" hidden="1">
      <c r="A191">
        <v>1221</v>
      </c>
      <c r="B191" s="4">
        <v>41826</v>
      </c>
      <c r="C191">
        <v>6</v>
      </c>
      <c r="D191" t="s">
        <v>92</v>
      </c>
      <c r="E191" t="s">
        <v>93</v>
      </c>
      <c r="F191" t="s">
        <v>94</v>
      </c>
      <c r="G191" t="s">
        <v>95</v>
      </c>
      <c r="H191">
        <v>99999</v>
      </c>
      <c r="I191" t="s">
        <v>40</v>
      </c>
      <c r="J191" t="s">
        <v>96</v>
      </c>
      <c r="K191" t="s">
        <v>71</v>
      </c>
      <c r="L191" s="4">
        <v>41828</v>
      </c>
      <c r="M191" t="s">
        <v>43</v>
      </c>
      <c r="N191" t="s">
        <v>97</v>
      </c>
      <c r="O191" t="s">
        <v>93</v>
      </c>
      <c r="P191" t="s">
        <v>94</v>
      </c>
      <c r="Q191" t="s">
        <v>95</v>
      </c>
      <c r="R191">
        <v>99999</v>
      </c>
      <c r="S191" t="s">
        <v>40</v>
      </c>
      <c r="T191" t="s">
        <v>58</v>
      </c>
      <c r="U191" t="s">
        <v>82</v>
      </c>
      <c r="V191" t="s">
        <v>83</v>
      </c>
      <c r="W191" s="5">
        <v>12.75</v>
      </c>
      <c r="X191">
        <v>28</v>
      </c>
      <c r="Y191" s="6">
        <v>357</v>
      </c>
      <c r="Z191" s="5">
        <v>35.700000000000003</v>
      </c>
    </row>
    <row r="192" spans="1:26" hidden="1">
      <c r="A192">
        <v>1222</v>
      </c>
      <c r="B192" s="4">
        <v>41879</v>
      </c>
      <c r="C192">
        <v>28</v>
      </c>
      <c r="D192" t="s">
        <v>100</v>
      </c>
      <c r="E192" t="s">
        <v>101</v>
      </c>
      <c r="F192" t="s">
        <v>102</v>
      </c>
      <c r="G192" t="s">
        <v>103</v>
      </c>
      <c r="H192">
        <v>99999</v>
      </c>
      <c r="I192" t="s">
        <v>40</v>
      </c>
      <c r="J192" t="s">
        <v>104</v>
      </c>
      <c r="K192" t="s">
        <v>105</v>
      </c>
      <c r="L192" s="4">
        <v>41881</v>
      </c>
      <c r="M192" t="s">
        <v>72</v>
      </c>
      <c r="N192" t="s">
        <v>106</v>
      </c>
      <c r="O192" t="s">
        <v>101</v>
      </c>
      <c r="P192" t="s">
        <v>102</v>
      </c>
      <c r="Q192" t="s">
        <v>103</v>
      </c>
      <c r="R192">
        <v>99999</v>
      </c>
      <c r="S192" t="s">
        <v>40</v>
      </c>
      <c r="T192" t="s">
        <v>45</v>
      </c>
      <c r="U192" t="s">
        <v>65</v>
      </c>
      <c r="V192" t="s">
        <v>47</v>
      </c>
      <c r="W192" s="5">
        <v>46</v>
      </c>
      <c r="X192">
        <v>28</v>
      </c>
      <c r="Y192" s="6">
        <v>1288</v>
      </c>
      <c r="Z192" s="5">
        <v>133.952</v>
      </c>
    </row>
    <row r="193" spans="1:26" hidden="1">
      <c r="A193">
        <v>1223</v>
      </c>
      <c r="B193" s="4">
        <v>41859</v>
      </c>
      <c r="C193">
        <v>8</v>
      </c>
      <c r="D193" t="s">
        <v>66</v>
      </c>
      <c r="E193" t="s">
        <v>67</v>
      </c>
      <c r="F193" t="s">
        <v>68</v>
      </c>
      <c r="G193" t="s">
        <v>69</v>
      </c>
      <c r="H193">
        <v>99999</v>
      </c>
      <c r="I193" t="s">
        <v>40</v>
      </c>
      <c r="J193" t="s">
        <v>70</v>
      </c>
      <c r="K193" t="s">
        <v>71</v>
      </c>
      <c r="L193" s="4">
        <v>41861</v>
      </c>
      <c r="M193" t="s">
        <v>72</v>
      </c>
      <c r="N193" t="s">
        <v>73</v>
      </c>
      <c r="O193" t="s">
        <v>67</v>
      </c>
      <c r="P193" t="s">
        <v>68</v>
      </c>
      <c r="Q193" t="s">
        <v>69</v>
      </c>
      <c r="R193">
        <v>99999</v>
      </c>
      <c r="S193" t="s">
        <v>40</v>
      </c>
      <c r="T193" t="s">
        <v>45</v>
      </c>
      <c r="U193" t="s">
        <v>82</v>
      </c>
      <c r="V193" t="s">
        <v>83</v>
      </c>
      <c r="W193" s="5">
        <v>12.75</v>
      </c>
      <c r="X193">
        <v>57</v>
      </c>
      <c r="Y193" s="6">
        <v>726.75</v>
      </c>
      <c r="Z193" s="5">
        <v>69.768000000000001</v>
      </c>
    </row>
    <row r="194" spans="1:26" hidden="1">
      <c r="A194">
        <v>1224</v>
      </c>
      <c r="B194" s="4">
        <v>41861</v>
      </c>
      <c r="C194">
        <v>10</v>
      </c>
      <c r="D194" t="s">
        <v>107</v>
      </c>
      <c r="E194" t="s">
        <v>108</v>
      </c>
      <c r="F194" t="s">
        <v>109</v>
      </c>
      <c r="G194" t="s">
        <v>110</v>
      </c>
      <c r="H194">
        <v>99999</v>
      </c>
      <c r="I194" t="s">
        <v>40</v>
      </c>
      <c r="J194" t="s">
        <v>111</v>
      </c>
      <c r="K194" t="s">
        <v>55</v>
      </c>
      <c r="L194" s="4">
        <v>41863</v>
      </c>
      <c r="M194" t="s">
        <v>43</v>
      </c>
      <c r="N194" t="s">
        <v>112</v>
      </c>
      <c r="O194" t="s">
        <v>108</v>
      </c>
      <c r="P194" t="s">
        <v>109</v>
      </c>
      <c r="Q194" t="s">
        <v>110</v>
      </c>
      <c r="R194">
        <v>99999</v>
      </c>
      <c r="S194" t="s">
        <v>40</v>
      </c>
      <c r="T194" t="s">
        <v>58</v>
      </c>
      <c r="U194" t="s">
        <v>113</v>
      </c>
      <c r="V194" t="s">
        <v>47</v>
      </c>
      <c r="W194" s="5">
        <v>2.99</v>
      </c>
      <c r="X194">
        <v>23</v>
      </c>
      <c r="Y194" s="6">
        <v>68.77</v>
      </c>
      <c r="Z194" s="5">
        <v>6.6706899999999996</v>
      </c>
    </row>
    <row r="195" spans="1:26" hidden="1">
      <c r="A195">
        <v>1225</v>
      </c>
      <c r="B195" s="4">
        <v>41858</v>
      </c>
      <c r="C195">
        <v>7</v>
      </c>
      <c r="D195" t="s">
        <v>114</v>
      </c>
      <c r="E195" t="s">
        <v>115</v>
      </c>
      <c r="F195" t="s">
        <v>116</v>
      </c>
      <c r="G195" t="s">
        <v>117</v>
      </c>
      <c r="H195">
        <v>99999</v>
      </c>
      <c r="I195" t="s">
        <v>40</v>
      </c>
      <c r="J195" t="s">
        <v>70</v>
      </c>
      <c r="K195" t="s">
        <v>71</v>
      </c>
      <c r="L195" s="4"/>
      <c r="N195" t="s">
        <v>118</v>
      </c>
      <c r="O195" t="s">
        <v>115</v>
      </c>
      <c r="P195" t="s">
        <v>116</v>
      </c>
      <c r="Q195" t="s">
        <v>117</v>
      </c>
      <c r="R195">
        <v>99999</v>
      </c>
      <c r="S195" t="s">
        <v>40</v>
      </c>
      <c r="U195" t="s">
        <v>65</v>
      </c>
      <c r="V195" t="s">
        <v>47</v>
      </c>
      <c r="W195" s="5">
        <v>46</v>
      </c>
      <c r="X195">
        <v>86</v>
      </c>
      <c r="Y195" s="6">
        <v>3956</v>
      </c>
      <c r="Z195" s="5">
        <v>399.55599999999998</v>
      </c>
    </row>
    <row r="196" spans="1:26" hidden="1">
      <c r="A196">
        <v>1226</v>
      </c>
      <c r="B196" s="4">
        <v>41861</v>
      </c>
      <c r="C196">
        <v>10</v>
      </c>
      <c r="D196" t="s">
        <v>107</v>
      </c>
      <c r="E196" t="s">
        <v>108</v>
      </c>
      <c r="F196" t="s">
        <v>109</v>
      </c>
      <c r="G196" t="s">
        <v>110</v>
      </c>
      <c r="H196">
        <v>99999</v>
      </c>
      <c r="I196" t="s">
        <v>40</v>
      </c>
      <c r="J196" t="s">
        <v>111</v>
      </c>
      <c r="K196" t="s">
        <v>55</v>
      </c>
      <c r="L196" s="4">
        <v>41863</v>
      </c>
      <c r="M196" t="s">
        <v>56</v>
      </c>
      <c r="N196" t="s">
        <v>112</v>
      </c>
      <c r="O196" t="s">
        <v>108</v>
      </c>
      <c r="P196" t="s">
        <v>109</v>
      </c>
      <c r="Q196" t="s">
        <v>110</v>
      </c>
      <c r="R196">
        <v>99999</v>
      </c>
      <c r="S196" t="s">
        <v>40</v>
      </c>
      <c r="U196" t="s">
        <v>119</v>
      </c>
      <c r="V196" t="s">
        <v>120</v>
      </c>
      <c r="W196" s="5">
        <v>25</v>
      </c>
      <c r="X196">
        <v>47</v>
      </c>
      <c r="Y196" s="6">
        <v>1175</v>
      </c>
      <c r="Z196" s="5">
        <v>116.325</v>
      </c>
    </row>
    <row r="197" spans="1:26" hidden="1">
      <c r="A197">
        <v>1227</v>
      </c>
      <c r="B197" s="4">
        <v>41861</v>
      </c>
      <c r="C197">
        <v>10</v>
      </c>
      <c r="D197" t="s">
        <v>107</v>
      </c>
      <c r="E197" t="s">
        <v>108</v>
      </c>
      <c r="F197" t="s">
        <v>109</v>
      </c>
      <c r="G197" t="s">
        <v>110</v>
      </c>
      <c r="H197">
        <v>99999</v>
      </c>
      <c r="I197" t="s">
        <v>40</v>
      </c>
      <c r="J197" t="s">
        <v>111</v>
      </c>
      <c r="K197" t="s">
        <v>55</v>
      </c>
      <c r="L197" s="4">
        <v>41863</v>
      </c>
      <c r="M197" t="s">
        <v>56</v>
      </c>
      <c r="N197" t="s">
        <v>112</v>
      </c>
      <c r="O197" t="s">
        <v>108</v>
      </c>
      <c r="P197" t="s">
        <v>109</v>
      </c>
      <c r="Q197" t="s">
        <v>110</v>
      </c>
      <c r="R197">
        <v>99999</v>
      </c>
      <c r="S197" t="s">
        <v>40</v>
      </c>
      <c r="U197" t="s">
        <v>121</v>
      </c>
      <c r="V197" t="s">
        <v>122</v>
      </c>
      <c r="W197" s="5">
        <v>22</v>
      </c>
      <c r="X197">
        <v>97</v>
      </c>
      <c r="Y197" s="6">
        <v>2134</v>
      </c>
      <c r="Z197" s="5">
        <v>221.93600000000001</v>
      </c>
    </row>
    <row r="198" spans="1:26">
      <c r="A198">
        <v>1228</v>
      </c>
      <c r="B198" s="4">
        <v>41861</v>
      </c>
      <c r="C198">
        <v>10</v>
      </c>
      <c r="D198" t="s">
        <v>107</v>
      </c>
      <c r="E198" t="s">
        <v>108</v>
      </c>
      <c r="F198" t="s">
        <v>109</v>
      </c>
      <c r="G198" t="s">
        <v>110</v>
      </c>
      <c r="H198">
        <v>99999</v>
      </c>
      <c r="I198" t="s">
        <v>40</v>
      </c>
      <c r="J198" t="s">
        <v>111</v>
      </c>
      <c r="K198" t="s">
        <v>55</v>
      </c>
      <c r="L198" s="4">
        <v>41863</v>
      </c>
      <c r="M198" t="s">
        <v>56</v>
      </c>
      <c r="N198" t="s">
        <v>112</v>
      </c>
      <c r="O198" t="s">
        <v>108</v>
      </c>
      <c r="P198" t="s">
        <v>109</v>
      </c>
      <c r="Q198" t="s">
        <v>110</v>
      </c>
      <c r="R198">
        <v>99999</v>
      </c>
      <c r="S198" t="s">
        <v>40</v>
      </c>
      <c r="U198" t="s">
        <v>74</v>
      </c>
      <c r="V198" t="s">
        <v>75</v>
      </c>
      <c r="W198" s="5">
        <v>9.1999999999999993</v>
      </c>
      <c r="X198">
        <v>96</v>
      </c>
      <c r="Y198" s="6">
        <v>883.2</v>
      </c>
      <c r="Z198" s="5">
        <v>86.553600000000003</v>
      </c>
    </row>
    <row r="199" spans="1:26" hidden="1">
      <c r="A199">
        <v>1229</v>
      </c>
      <c r="B199" s="4">
        <v>41862</v>
      </c>
      <c r="C199">
        <v>11</v>
      </c>
      <c r="D199" t="s">
        <v>123</v>
      </c>
      <c r="E199" t="s">
        <v>124</v>
      </c>
      <c r="F199" t="s">
        <v>125</v>
      </c>
      <c r="G199" t="s">
        <v>126</v>
      </c>
      <c r="H199">
        <v>99999</v>
      </c>
      <c r="I199" t="s">
        <v>40</v>
      </c>
      <c r="J199" t="s">
        <v>104</v>
      </c>
      <c r="K199" t="s">
        <v>105</v>
      </c>
      <c r="L199" s="4"/>
      <c r="M199" t="s">
        <v>72</v>
      </c>
      <c r="N199" t="s">
        <v>127</v>
      </c>
      <c r="O199" t="s">
        <v>124</v>
      </c>
      <c r="P199" t="s">
        <v>125</v>
      </c>
      <c r="Q199" t="s">
        <v>126</v>
      </c>
      <c r="R199">
        <v>99999</v>
      </c>
      <c r="S199" t="s">
        <v>40</v>
      </c>
      <c r="U199" t="s">
        <v>48</v>
      </c>
      <c r="V199" t="s">
        <v>49</v>
      </c>
      <c r="W199" s="5">
        <v>3.5</v>
      </c>
      <c r="X199">
        <v>31</v>
      </c>
      <c r="Y199" s="6">
        <v>108.5</v>
      </c>
      <c r="Z199" s="5">
        <v>10.85</v>
      </c>
    </row>
    <row r="200" spans="1:26" hidden="1">
      <c r="A200">
        <v>1230</v>
      </c>
      <c r="B200" s="4">
        <v>41862</v>
      </c>
      <c r="C200">
        <v>11</v>
      </c>
      <c r="D200" t="s">
        <v>123</v>
      </c>
      <c r="E200" t="s">
        <v>124</v>
      </c>
      <c r="F200" t="s">
        <v>125</v>
      </c>
      <c r="G200" t="s">
        <v>126</v>
      </c>
      <c r="H200">
        <v>99999</v>
      </c>
      <c r="I200" t="s">
        <v>40</v>
      </c>
      <c r="J200" t="s">
        <v>104</v>
      </c>
      <c r="K200" t="s">
        <v>105</v>
      </c>
      <c r="L200" s="4"/>
      <c r="M200" t="s">
        <v>72</v>
      </c>
      <c r="N200" t="s">
        <v>127</v>
      </c>
      <c r="O200" t="s">
        <v>124</v>
      </c>
      <c r="P200" t="s">
        <v>125</v>
      </c>
      <c r="Q200" t="s">
        <v>126</v>
      </c>
      <c r="R200">
        <v>99999</v>
      </c>
      <c r="S200" t="s">
        <v>40</v>
      </c>
      <c r="U200" t="s">
        <v>113</v>
      </c>
      <c r="V200" t="s">
        <v>47</v>
      </c>
      <c r="W200" s="5">
        <v>2.99</v>
      </c>
      <c r="X200">
        <v>52</v>
      </c>
      <c r="Y200" s="6">
        <v>155.47999999999999</v>
      </c>
      <c r="Z200" s="5">
        <v>16.01444</v>
      </c>
    </row>
    <row r="201" spans="1:26" hidden="1">
      <c r="A201">
        <v>1231</v>
      </c>
      <c r="B201" s="4">
        <v>41852</v>
      </c>
      <c r="C201">
        <v>1</v>
      </c>
      <c r="D201" t="s">
        <v>128</v>
      </c>
      <c r="E201" t="s">
        <v>129</v>
      </c>
      <c r="F201" t="s">
        <v>130</v>
      </c>
      <c r="G201" t="s">
        <v>131</v>
      </c>
      <c r="H201">
        <v>99999</v>
      </c>
      <c r="I201" t="s">
        <v>40</v>
      </c>
      <c r="J201" t="s">
        <v>70</v>
      </c>
      <c r="K201" t="s">
        <v>71</v>
      </c>
      <c r="L201" s="4"/>
      <c r="N201" t="s">
        <v>132</v>
      </c>
      <c r="O201" t="s">
        <v>129</v>
      </c>
      <c r="P201" t="s">
        <v>130</v>
      </c>
      <c r="Q201" t="s">
        <v>131</v>
      </c>
      <c r="R201">
        <v>99999</v>
      </c>
      <c r="S201" t="s">
        <v>40</v>
      </c>
      <c r="U201" t="s">
        <v>64</v>
      </c>
      <c r="V201" t="s">
        <v>47</v>
      </c>
      <c r="W201" s="5">
        <v>18</v>
      </c>
      <c r="X201">
        <v>91</v>
      </c>
      <c r="Y201" s="6">
        <v>1638</v>
      </c>
      <c r="Z201" s="5">
        <v>158.886</v>
      </c>
    </row>
    <row r="202" spans="1:26" hidden="1">
      <c r="A202">
        <v>1232</v>
      </c>
      <c r="B202" s="4">
        <v>41852</v>
      </c>
      <c r="C202">
        <v>1</v>
      </c>
      <c r="D202" t="s">
        <v>128</v>
      </c>
      <c r="E202" t="s">
        <v>129</v>
      </c>
      <c r="F202" t="s">
        <v>130</v>
      </c>
      <c r="G202" t="s">
        <v>131</v>
      </c>
      <c r="H202">
        <v>99999</v>
      </c>
      <c r="I202" t="s">
        <v>40</v>
      </c>
      <c r="J202" t="s">
        <v>70</v>
      </c>
      <c r="K202" t="s">
        <v>71</v>
      </c>
      <c r="L202" s="4"/>
      <c r="N202" t="s">
        <v>132</v>
      </c>
      <c r="O202" t="s">
        <v>129</v>
      </c>
      <c r="P202" t="s">
        <v>130</v>
      </c>
      <c r="Q202" t="s">
        <v>131</v>
      </c>
      <c r="R202">
        <v>99999</v>
      </c>
      <c r="S202" t="s">
        <v>40</v>
      </c>
      <c r="U202" t="s">
        <v>65</v>
      </c>
      <c r="V202" t="s">
        <v>47</v>
      </c>
      <c r="W202" s="5">
        <v>46</v>
      </c>
      <c r="X202">
        <v>14</v>
      </c>
      <c r="Y202" s="6">
        <v>644</v>
      </c>
      <c r="Z202" s="5">
        <v>63.756</v>
      </c>
    </row>
    <row r="203" spans="1:26" hidden="1">
      <c r="A203">
        <v>1233</v>
      </c>
      <c r="B203" s="4">
        <v>41852</v>
      </c>
      <c r="C203">
        <v>1</v>
      </c>
      <c r="D203" t="s">
        <v>128</v>
      </c>
      <c r="E203" t="s">
        <v>129</v>
      </c>
      <c r="F203" t="s">
        <v>130</v>
      </c>
      <c r="G203" t="s">
        <v>131</v>
      </c>
      <c r="H203">
        <v>99999</v>
      </c>
      <c r="I203" t="s">
        <v>40</v>
      </c>
      <c r="J203" t="s">
        <v>70</v>
      </c>
      <c r="K203" t="s">
        <v>71</v>
      </c>
      <c r="L203" s="4"/>
      <c r="N203" t="s">
        <v>132</v>
      </c>
      <c r="O203" t="s">
        <v>129</v>
      </c>
      <c r="P203" t="s">
        <v>130</v>
      </c>
      <c r="Q203" t="s">
        <v>131</v>
      </c>
      <c r="R203">
        <v>99999</v>
      </c>
      <c r="S203" t="s">
        <v>40</v>
      </c>
      <c r="U203" t="s">
        <v>113</v>
      </c>
      <c r="V203" t="s">
        <v>47</v>
      </c>
      <c r="W203">
        <v>2.99</v>
      </c>
      <c r="X203">
        <v>44</v>
      </c>
      <c r="Y203" s="6">
        <v>131.56</v>
      </c>
      <c r="Z203" s="5">
        <v>13.287559999999999</v>
      </c>
    </row>
    <row r="204" spans="1:26" hidden="1">
      <c r="A204">
        <v>1234</v>
      </c>
      <c r="B204" s="4">
        <v>41879</v>
      </c>
      <c r="C204">
        <v>28</v>
      </c>
      <c r="D204" t="s">
        <v>100</v>
      </c>
      <c r="E204" t="s">
        <v>101</v>
      </c>
      <c r="F204" t="s">
        <v>102</v>
      </c>
      <c r="G204" t="s">
        <v>103</v>
      </c>
      <c r="H204">
        <v>99999</v>
      </c>
      <c r="I204" t="s">
        <v>40</v>
      </c>
      <c r="J204" t="s">
        <v>104</v>
      </c>
      <c r="K204" t="s">
        <v>105</v>
      </c>
      <c r="L204" s="4">
        <v>41881</v>
      </c>
      <c r="M204" t="s">
        <v>72</v>
      </c>
      <c r="N204" t="s">
        <v>106</v>
      </c>
      <c r="O204" t="s">
        <v>101</v>
      </c>
      <c r="P204" t="s">
        <v>102</v>
      </c>
      <c r="Q204" t="s">
        <v>103</v>
      </c>
      <c r="R204">
        <v>99999</v>
      </c>
      <c r="S204" t="s">
        <v>40</v>
      </c>
      <c r="T204" t="s">
        <v>58</v>
      </c>
      <c r="U204" t="s">
        <v>90</v>
      </c>
      <c r="V204" t="s">
        <v>91</v>
      </c>
      <c r="W204">
        <v>9.65</v>
      </c>
      <c r="X204">
        <v>97</v>
      </c>
      <c r="Y204" s="6">
        <v>936.05</v>
      </c>
      <c r="Z204" s="5">
        <v>95.477099999999993</v>
      </c>
    </row>
    <row r="205" spans="1:26" hidden="1">
      <c r="A205">
        <v>1235</v>
      </c>
      <c r="B205" s="4">
        <v>41879</v>
      </c>
      <c r="C205">
        <v>28</v>
      </c>
      <c r="D205" t="s">
        <v>100</v>
      </c>
      <c r="E205" t="s">
        <v>101</v>
      </c>
      <c r="F205" t="s">
        <v>102</v>
      </c>
      <c r="G205" t="s">
        <v>103</v>
      </c>
      <c r="H205">
        <v>99999</v>
      </c>
      <c r="I205" t="s">
        <v>40</v>
      </c>
      <c r="J205" t="s">
        <v>104</v>
      </c>
      <c r="K205" t="s">
        <v>105</v>
      </c>
      <c r="L205" s="4">
        <v>41881</v>
      </c>
      <c r="M205" t="s">
        <v>72</v>
      </c>
      <c r="N205" t="s">
        <v>106</v>
      </c>
      <c r="O205" t="s">
        <v>101</v>
      </c>
      <c r="P205" t="s">
        <v>102</v>
      </c>
      <c r="Q205" t="s">
        <v>103</v>
      </c>
      <c r="R205">
        <v>99999</v>
      </c>
      <c r="S205" t="s">
        <v>40</v>
      </c>
      <c r="T205" t="s">
        <v>58</v>
      </c>
      <c r="U205" t="s">
        <v>133</v>
      </c>
      <c r="V205" t="s">
        <v>134</v>
      </c>
      <c r="W205">
        <v>18.399999999999999</v>
      </c>
      <c r="X205">
        <v>80</v>
      </c>
      <c r="Y205" s="6">
        <v>1472</v>
      </c>
      <c r="Z205" s="5">
        <v>150.14400000000001</v>
      </c>
    </row>
    <row r="206" spans="1:26" hidden="1">
      <c r="A206">
        <v>1236</v>
      </c>
      <c r="B206" s="4">
        <v>41860</v>
      </c>
      <c r="C206">
        <v>9</v>
      </c>
      <c r="D206" t="s">
        <v>135</v>
      </c>
      <c r="E206" t="s">
        <v>136</v>
      </c>
      <c r="F206" t="s">
        <v>137</v>
      </c>
      <c r="G206" t="s">
        <v>138</v>
      </c>
      <c r="H206">
        <v>99999</v>
      </c>
      <c r="I206" t="s">
        <v>40</v>
      </c>
      <c r="J206" t="s">
        <v>139</v>
      </c>
      <c r="K206" t="s">
        <v>42</v>
      </c>
      <c r="L206" s="4">
        <v>41862</v>
      </c>
      <c r="M206" t="s">
        <v>56</v>
      </c>
      <c r="N206" t="s">
        <v>140</v>
      </c>
      <c r="O206" t="s">
        <v>136</v>
      </c>
      <c r="P206" t="s">
        <v>137</v>
      </c>
      <c r="Q206" t="s">
        <v>138</v>
      </c>
      <c r="R206">
        <v>99999</v>
      </c>
      <c r="S206" t="s">
        <v>40</v>
      </c>
      <c r="T206" t="s">
        <v>45</v>
      </c>
      <c r="U206" t="s">
        <v>141</v>
      </c>
      <c r="V206" t="s">
        <v>142</v>
      </c>
      <c r="W206">
        <v>19.5</v>
      </c>
      <c r="X206">
        <v>66</v>
      </c>
      <c r="Y206" s="6">
        <v>1287</v>
      </c>
      <c r="Z206" s="5">
        <v>132.56100000000001</v>
      </c>
    </row>
    <row r="207" spans="1:26" hidden="1">
      <c r="A207">
        <v>1237</v>
      </c>
      <c r="B207" s="4">
        <v>41860</v>
      </c>
      <c r="C207">
        <v>9</v>
      </c>
      <c r="D207" t="s">
        <v>135</v>
      </c>
      <c r="E207" t="s">
        <v>136</v>
      </c>
      <c r="F207" t="s">
        <v>137</v>
      </c>
      <c r="G207" t="s">
        <v>138</v>
      </c>
      <c r="H207">
        <v>99999</v>
      </c>
      <c r="I207" t="s">
        <v>40</v>
      </c>
      <c r="J207" t="s">
        <v>139</v>
      </c>
      <c r="K207" t="s">
        <v>42</v>
      </c>
      <c r="L207" s="4">
        <v>41862</v>
      </c>
      <c r="M207" t="s">
        <v>56</v>
      </c>
      <c r="N207" t="s">
        <v>140</v>
      </c>
      <c r="O207" t="s">
        <v>136</v>
      </c>
      <c r="P207" t="s">
        <v>137</v>
      </c>
      <c r="Q207" t="s">
        <v>138</v>
      </c>
      <c r="R207">
        <v>99999</v>
      </c>
      <c r="S207" t="s">
        <v>40</v>
      </c>
      <c r="T207" t="s">
        <v>45</v>
      </c>
      <c r="U207" t="s">
        <v>143</v>
      </c>
      <c r="V207" t="s">
        <v>144</v>
      </c>
      <c r="W207">
        <v>34.799999999999997</v>
      </c>
      <c r="X207">
        <v>32</v>
      </c>
      <c r="Y207" s="6">
        <v>1113.5999999999999</v>
      </c>
      <c r="Z207" s="5">
        <v>111.36</v>
      </c>
    </row>
    <row r="208" spans="1:26" hidden="1">
      <c r="A208">
        <v>1238</v>
      </c>
      <c r="B208" s="4">
        <v>41857</v>
      </c>
      <c r="C208">
        <v>6</v>
      </c>
      <c r="D208" t="s">
        <v>92</v>
      </c>
      <c r="E208" t="s">
        <v>93</v>
      </c>
      <c r="F208" t="s">
        <v>94</v>
      </c>
      <c r="G208" t="s">
        <v>95</v>
      </c>
      <c r="H208">
        <v>99999</v>
      </c>
      <c r="I208" t="s">
        <v>40</v>
      </c>
      <c r="J208" t="s">
        <v>96</v>
      </c>
      <c r="K208" t="s">
        <v>71</v>
      </c>
      <c r="L208" s="4">
        <v>41859</v>
      </c>
      <c r="M208" t="s">
        <v>43</v>
      </c>
      <c r="N208" t="s">
        <v>97</v>
      </c>
      <c r="O208" t="s">
        <v>93</v>
      </c>
      <c r="P208" t="s">
        <v>94</v>
      </c>
      <c r="Q208" t="s">
        <v>95</v>
      </c>
      <c r="R208">
        <v>99999</v>
      </c>
      <c r="S208" t="s">
        <v>40</v>
      </c>
      <c r="T208" t="s">
        <v>58</v>
      </c>
      <c r="U208" t="s">
        <v>46</v>
      </c>
      <c r="V208" t="s">
        <v>47</v>
      </c>
      <c r="W208">
        <v>14</v>
      </c>
      <c r="X208">
        <v>52</v>
      </c>
      <c r="Y208" s="6">
        <v>728</v>
      </c>
      <c r="Z208" s="5">
        <v>72.8</v>
      </c>
    </row>
    <row r="209" spans="1:26" hidden="1">
      <c r="A209">
        <v>1239</v>
      </c>
      <c r="B209" s="4">
        <v>41859</v>
      </c>
      <c r="C209">
        <v>8</v>
      </c>
      <c r="D209" t="s">
        <v>66</v>
      </c>
      <c r="E209" t="s">
        <v>67</v>
      </c>
      <c r="F209" t="s">
        <v>68</v>
      </c>
      <c r="G209" t="s">
        <v>69</v>
      </c>
      <c r="H209">
        <v>99999</v>
      </c>
      <c r="I209" t="s">
        <v>40</v>
      </c>
      <c r="J209" t="s">
        <v>70</v>
      </c>
      <c r="K209" t="s">
        <v>71</v>
      </c>
      <c r="L209" s="4">
        <v>41861</v>
      </c>
      <c r="M209" t="s">
        <v>43</v>
      </c>
      <c r="N209" t="s">
        <v>73</v>
      </c>
      <c r="O209" t="s">
        <v>67</v>
      </c>
      <c r="P209" t="s">
        <v>68</v>
      </c>
      <c r="Q209" t="s">
        <v>69</v>
      </c>
      <c r="R209">
        <v>99999</v>
      </c>
      <c r="S209" t="s">
        <v>40</v>
      </c>
      <c r="T209" t="s">
        <v>45</v>
      </c>
      <c r="U209" t="s">
        <v>98</v>
      </c>
      <c r="V209" t="s">
        <v>99</v>
      </c>
      <c r="W209">
        <v>40</v>
      </c>
      <c r="X209">
        <v>78</v>
      </c>
      <c r="Y209" s="6">
        <v>3120</v>
      </c>
      <c r="Z209" s="5">
        <v>318.24</v>
      </c>
    </row>
    <row r="210" spans="1:26">
      <c r="A210">
        <v>1240</v>
      </c>
      <c r="B210" s="4">
        <v>41859</v>
      </c>
      <c r="C210">
        <v>8</v>
      </c>
      <c r="D210" t="s">
        <v>66</v>
      </c>
      <c r="E210" t="s">
        <v>67</v>
      </c>
      <c r="F210" t="s">
        <v>68</v>
      </c>
      <c r="G210" t="s">
        <v>69</v>
      </c>
      <c r="H210">
        <v>99999</v>
      </c>
      <c r="I210" t="s">
        <v>40</v>
      </c>
      <c r="J210" t="s">
        <v>70</v>
      </c>
      <c r="K210" t="s">
        <v>71</v>
      </c>
      <c r="L210" s="4">
        <v>41861</v>
      </c>
      <c r="M210" t="s">
        <v>43</v>
      </c>
      <c r="N210" t="s">
        <v>73</v>
      </c>
      <c r="O210" t="s">
        <v>67</v>
      </c>
      <c r="P210" t="s">
        <v>68</v>
      </c>
      <c r="Q210" t="s">
        <v>69</v>
      </c>
      <c r="R210">
        <v>99999</v>
      </c>
      <c r="S210" t="s">
        <v>40</v>
      </c>
      <c r="T210" t="s">
        <v>45</v>
      </c>
      <c r="U210" t="s">
        <v>74</v>
      </c>
      <c r="V210" t="s">
        <v>75</v>
      </c>
      <c r="W210">
        <v>9.1999999999999993</v>
      </c>
      <c r="X210">
        <v>54</v>
      </c>
      <c r="Y210" s="6">
        <v>496.8</v>
      </c>
      <c r="Z210" s="5">
        <v>49.183199999999999</v>
      </c>
    </row>
    <row r="211" spans="1:26">
      <c r="A211">
        <v>1241</v>
      </c>
      <c r="B211" s="4">
        <v>41876</v>
      </c>
      <c r="C211">
        <v>25</v>
      </c>
      <c r="D211" t="s">
        <v>148</v>
      </c>
      <c r="E211" t="s">
        <v>149</v>
      </c>
      <c r="F211" t="s">
        <v>109</v>
      </c>
      <c r="G211" t="s">
        <v>110</v>
      </c>
      <c r="H211">
        <v>99999</v>
      </c>
      <c r="I211" t="s">
        <v>40</v>
      </c>
      <c r="J211" t="s">
        <v>111</v>
      </c>
      <c r="K211" t="s">
        <v>55</v>
      </c>
      <c r="L211" s="4">
        <v>41878</v>
      </c>
      <c r="M211" t="s">
        <v>56</v>
      </c>
      <c r="N211" t="s">
        <v>150</v>
      </c>
      <c r="O211" t="s">
        <v>149</v>
      </c>
      <c r="P211" t="s">
        <v>109</v>
      </c>
      <c r="Q211" t="s">
        <v>110</v>
      </c>
      <c r="R211">
        <v>99999</v>
      </c>
      <c r="S211" t="s">
        <v>40</v>
      </c>
      <c r="T211" t="s">
        <v>89</v>
      </c>
      <c r="U211" t="s">
        <v>157</v>
      </c>
      <c r="V211" t="s">
        <v>75</v>
      </c>
      <c r="W211">
        <v>10</v>
      </c>
      <c r="X211">
        <v>55</v>
      </c>
      <c r="Y211" s="6">
        <v>550</v>
      </c>
      <c r="Z211" s="5">
        <v>52.25</v>
      </c>
    </row>
    <row r="212" spans="1:26" hidden="1">
      <c r="A212">
        <v>1242</v>
      </c>
      <c r="B212" s="4">
        <v>41877</v>
      </c>
      <c r="C212">
        <v>26</v>
      </c>
      <c r="D212" t="s">
        <v>151</v>
      </c>
      <c r="E212" t="s">
        <v>152</v>
      </c>
      <c r="F212" t="s">
        <v>125</v>
      </c>
      <c r="G212" t="s">
        <v>126</v>
      </c>
      <c r="H212">
        <v>99999</v>
      </c>
      <c r="I212" t="s">
        <v>40</v>
      </c>
      <c r="J212" t="s">
        <v>104</v>
      </c>
      <c r="K212" t="s">
        <v>105</v>
      </c>
      <c r="L212" s="4">
        <v>41879</v>
      </c>
      <c r="M212" t="s">
        <v>72</v>
      </c>
      <c r="N212" t="s">
        <v>153</v>
      </c>
      <c r="O212" t="s">
        <v>152</v>
      </c>
      <c r="P212" t="s">
        <v>125</v>
      </c>
      <c r="Q212" t="s">
        <v>126</v>
      </c>
      <c r="R212">
        <v>99999</v>
      </c>
      <c r="S212" t="s">
        <v>40</v>
      </c>
      <c r="T212" t="s">
        <v>58</v>
      </c>
      <c r="U212" t="s">
        <v>158</v>
      </c>
      <c r="V212" t="s">
        <v>159</v>
      </c>
      <c r="W212">
        <v>21.35</v>
      </c>
      <c r="X212">
        <v>60</v>
      </c>
      <c r="Y212" s="6">
        <v>1281</v>
      </c>
      <c r="Z212" s="5">
        <v>129.381</v>
      </c>
    </row>
    <row r="213" spans="1:26" hidden="1">
      <c r="A213">
        <v>1243</v>
      </c>
      <c r="B213" s="4">
        <v>41877</v>
      </c>
      <c r="C213">
        <v>26</v>
      </c>
      <c r="D213" t="s">
        <v>151</v>
      </c>
      <c r="E213" t="s">
        <v>152</v>
      </c>
      <c r="F213" t="s">
        <v>125</v>
      </c>
      <c r="G213" t="s">
        <v>126</v>
      </c>
      <c r="H213">
        <v>99999</v>
      </c>
      <c r="I213" t="s">
        <v>40</v>
      </c>
      <c r="J213" t="s">
        <v>104</v>
      </c>
      <c r="K213" t="s">
        <v>105</v>
      </c>
      <c r="L213" s="4">
        <v>41879</v>
      </c>
      <c r="M213" t="s">
        <v>72</v>
      </c>
      <c r="N213" t="s">
        <v>153</v>
      </c>
      <c r="O213" t="s">
        <v>152</v>
      </c>
      <c r="P213" t="s">
        <v>125</v>
      </c>
      <c r="Q213" t="s">
        <v>126</v>
      </c>
      <c r="R213">
        <v>99999</v>
      </c>
      <c r="S213" t="s">
        <v>40</v>
      </c>
      <c r="T213" t="s">
        <v>58</v>
      </c>
      <c r="U213" t="s">
        <v>90</v>
      </c>
      <c r="V213" t="s">
        <v>91</v>
      </c>
      <c r="W213">
        <v>9.65</v>
      </c>
      <c r="X213">
        <v>19</v>
      </c>
      <c r="Y213" s="6">
        <v>183.35</v>
      </c>
      <c r="Z213" s="5">
        <v>17.41825</v>
      </c>
    </row>
    <row r="214" spans="1:26" hidden="1">
      <c r="A214">
        <v>1244</v>
      </c>
      <c r="B214" s="4">
        <v>41877</v>
      </c>
      <c r="C214">
        <v>26</v>
      </c>
      <c r="D214" t="s">
        <v>151</v>
      </c>
      <c r="E214" t="s">
        <v>152</v>
      </c>
      <c r="F214" t="s">
        <v>125</v>
      </c>
      <c r="G214" t="s">
        <v>126</v>
      </c>
      <c r="H214">
        <v>99999</v>
      </c>
      <c r="I214" t="s">
        <v>40</v>
      </c>
      <c r="J214" t="s">
        <v>104</v>
      </c>
      <c r="K214" t="s">
        <v>105</v>
      </c>
      <c r="L214" s="4">
        <v>41879</v>
      </c>
      <c r="M214" t="s">
        <v>72</v>
      </c>
      <c r="N214" t="s">
        <v>153</v>
      </c>
      <c r="O214" t="s">
        <v>152</v>
      </c>
      <c r="P214" t="s">
        <v>125</v>
      </c>
      <c r="Q214" t="s">
        <v>126</v>
      </c>
      <c r="R214">
        <v>99999</v>
      </c>
      <c r="S214" t="s">
        <v>40</v>
      </c>
      <c r="T214" t="s">
        <v>58</v>
      </c>
      <c r="U214" t="s">
        <v>133</v>
      </c>
      <c r="V214" t="s">
        <v>134</v>
      </c>
      <c r="W214">
        <v>18.399999999999999</v>
      </c>
      <c r="X214">
        <v>66</v>
      </c>
      <c r="Y214" s="6">
        <v>1214.4000000000001</v>
      </c>
      <c r="Z214" s="5">
        <v>125.08320000000001</v>
      </c>
    </row>
    <row r="215" spans="1:26" hidden="1">
      <c r="A215">
        <v>1245</v>
      </c>
      <c r="B215" s="4">
        <v>41880</v>
      </c>
      <c r="C215">
        <v>29</v>
      </c>
      <c r="D215" t="s">
        <v>76</v>
      </c>
      <c r="E215" t="s">
        <v>77</v>
      </c>
      <c r="F215" t="s">
        <v>78</v>
      </c>
      <c r="G215" t="s">
        <v>79</v>
      </c>
      <c r="H215">
        <v>99999</v>
      </c>
      <c r="I215" t="s">
        <v>40</v>
      </c>
      <c r="J215" t="s">
        <v>80</v>
      </c>
      <c r="K215" t="s">
        <v>42</v>
      </c>
      <c r="L215" s="4">
        <v>41882</v>
      </c>
      <c r="M215" t="s">
        <v>43</v>
      </c>
      <c r="N215" t="s">
        <v>81</v>
      </c>
      <c r="O215" t="s">
        <v>77</v>
      </c>
      <c r="P215" t="s">
        <v>78</v>
      </c>
      <c r="Q215" t="s">
        <v>79</v>
      </c>
      <c r="R215">
        <v>99999</v>
      </c>
      <c r="S215" t="s">
        <v>40</v>
      </c>
      <c r="T215" t="s">
        <v>45</v>
      </c>
      <c r="U215" t="s">
        <v>46</v>
      </c>
      <c r="V215" t="s">
        <v>47</v>
      </c>
      <c r="W215">
        <v>14</v>
      </c>
      <c r="X215">
        <v>42</v>
      </c>
      <c r="Y215" s="6">
        <v>588</v>
      </c>
      <c r="Z215" s="5">
        <v>59.387999999999998</v>
      </c>
    </row>
    <row r="216" spans="1:26" hidden="1">
      <c r="A216">
        <v>1246</v>
      </c>
      <c r="B216" s="4">
        <v>41857</v>
      </c>
      <c r="C216">
        <v>6</v>
      </c>
      <c r="D216" t="s">
        <v>92</v>
      </c>
      <c r="E216" t="s">
        <v>93</v>
      </c>
      <c r="F216" t="s">
        <v>94</v>
      </c>
      <c r="G216" t="s">
        <v>95</v>
      </c>
      <c r="H216">
        <v>99999</v>
      </c>
      <c r="I216" t="s">
        <v>40</v>
      </c>
      <c r="J216" t="s">
        <v>96</v>
      </c>
      <c r="K216" t="s">
        <v>71</v>
      </c>
      <c r="L216">
        <v>41859</v>
      </c>
      <c r="M216" t="s">
        <v>72</v>
      </c>
      <c r="N216" t="s">
        <v>97</v>
      </c>
      <c r="O216" t="s">
        <v>93</v>
      </c>
      <c r="P216" t="s">
        <v>94</v>
      </c>
      <c r="Q216" t="s">
        <v>95</v>
      </c>
      <c r="R216">
        <v>99999</v>
      </c>
      <c r="S216" t="s">
        <v>40</v>
      </c>
      <c r="T216" t="s">
        <v>45</v>
      </c>
      <c r="U216" t="s">
        <v>82</v>
      </c>
      <c r="V216" t="s">
        <v>83</v>
      </c>
      <c r="W216">
        <v>12.75</v>
      </c>
      <c r="X216">
        <v>72</v>
      </c>
      <c r="Y216" s="6">
        <v>918</v>
      </c>
      <c r="Z216" s="5">
        <v>89.046000000000006</v>
      </c>
    </row>
    <row r="217" spans="1:26" hidden="1">
      <c r="A217">
        <v>1248</v>
      </c>
      <c r="B217" s="4">
        <v>41855</v>
      </c>
      <c r="C217">
        <v>4</v>
      </c>
      <c r="D217" t="s">
        <v>50</v>
      </c>
      <c r="E217" t="s">
        <v>51</v>
      </c>
      <c r="F217" t="s">
        <v>52</v>
      </c>
      <c r="G217" t="s">
        <v>53</v>
      </c>
      <c r="H217">
        <v>99999</v>
      </c>
      <c r="I217" t="s">
        <v>40</v>
      </c>
      <c r="J217" t="s">
        <v>54</v>
      </c>
      <c r="K217" t="s">
        <v>55</v>
      </c>
      <c r="L217">
        <v>41857</v>
      </c>
      <c r="M217" t="s">
        <v>56</v>
      </c>
      <c r="N217" t="s">
        <v>57</v>
      </c>
      <c r="O217" t="s">
        <v>51</v>
      </c>
      <c r="P217" t="s">
        <v>52</v>
      </c>
      <c r="Q217" t="s">
        <v>53</v>
      </c>
      <c r="R217">
        <v>99999</v>
      </c>
      <c r="S217" t="s">
        <v>40</v>
      </c>
      <c r="T217" t="s">
        <v>58</v>
      </c>
      <c r="U217" t="s">
        <v>160</v>
      </c>
      <c r="V217" t="s">
        <v>120</v>
      </c>
      <c r="W217">
        <v>81</v>
      </c>
      <c r="X217">
        <v>32</v>
      </c>
      <c r="Y217" s="6">
        <v>2592</v>
      </c>
      <c r="Z217" s="5">
        <v>251.42400000000001</v>
      </c>
    </row>
    <row r="218" spans="1:26" hidden="1">
      <c r="A218">
        <v>1249</v>
      </c>
      <c r="B218" s="4">
        <v>41855</v>
      </c>
      <c r="C218">
        <v>4</v>
      </c>
      <c r="D218" t="s">
        <v>50</v>
      </c>
      <c r="E218" t="s">
        <v>51</v>
      </c>
      <c r="F218" t="s">
        <v>52</v>
      </c>
      <c r="G218" t="s">
        <v>53</v>
      </c>
      <c r="H218">
        <v>99999</v>
      </c>
      <c r="I218" t="s">
        <v>40</v>
      </c>
      <c r="J218" t="s">
        <v>54</v>
      </c>
      <c r="K218" t="s">
        <v>55</v>
      </c>
      <c r="L218">
        <v>41857</v>
      </c>
      <c r="M218" t="s">
        <v>56</v>
      </c>
      <c r="N218" t="s">
        <v>57</v>
      </c>
      <c r="O218" t="s">
        <v>51</v>
      </c>
      <c r="P218" t="s">
        <v>52</v>
      </c>
      <c r="Q218" t="s">
        <v>53</v>
      </c>
      <c r="R218">
        <v>99999</v>
      </c>
      <c r="S218" t="s">
        <v>40</v>
      </c>
      <c r="T218" t="s">
        <v>58</v>
      </c>
      <c r="U218" t="s">
        <v>161</v>
      </c>
      <c r="V218" t="s">
        <v>162</v>
      </c>
      <c r="W218">
        <v>7</v>
      </c>
      <c r="X218">
        <v>76</v>
      </c>
      <c r="Y218" s="6">
        <v>532</v>
      </c>
      <c r="Z218" s="5">
        <v>53.731999999999999</v>
      </c>
    </row>
    <row r="219" spans="1:26">
      <c r="A219">
        <v>1250</v>
      </c>
      <c r="B219" s="4">
        <v>41892</v>
      </c>
      <c r="C219">
        <v>10</v>
      </c>
      <c r="D219" t="s">
        <v>107</v>
      </c>
      <c r="E219" t="s">
        <v>108</v>
      </c>
      <c r="F219" t="s">
        <v>109</v>
      </c>
      <c r="G219" t="s">
        <v>110</v>
      </c>
      <c r="H219">
        <v>99999</v>
      </c>
      <c r="I219" t="s">
        <v>40</v>
      </c>
      <c r="J219" t="s">
        <v>111</v>
      </c>
      <c r="K219" t="s">
        <v>55</v>
      </c>
      <c r="L219">
        <v>41894</v>
      </c>
      <c r="M219" t="s">
        <v>56</v>
      </c>
      <c r="N219" t="s">
        <v>112</v>
      </c>
      <c r="O219" t="s">
        <v>108</v>
      </c>
      <c r="P219" t="s">
        <v>109</v>
      </c>
      <c r="Q219" t="s">
        <v>110</v>
      </c>
      <c r="R219">
        <v>99999</v>
      </c>
      <c r="S219" t="s">
        <v>40</v>
      </c>
      <c r="U219" t="s">
        <v>74</v>
      </c>
      <c r="V219" t="s">
        <v>75</v>
      </c>
      <c r="W219">
        <v>9.1999999999999993</v>
      </c>
      <c r="X219">
        <v>83</v>
      </c>
      <c r="Y219" s="6">
        <v>763.6</v>
      </c>
      <c r="Z219" s="5">
        <v>74.832800000000006</v>
      </c>
    </row>
    <row r="220" spans="1:26" hidden="1">
      <c r="A220">
        <v>1251</v>
      </c>
      <c r="B220" s="4">
        <v>41893</v>
      </c>
      <c r="C220">
        <v>11</v>
      </c>
      <c r="D220" t="s">
        <v>123</v>
      </c>
      <c r="E220" t="s">
        <v>124</v>
      </c>
      <c r="F220" t="s">
        <v>125</v>
      </c>
      <c r="G220" t="s">
        <v>126</v>
      </c>
      <c r="H220">
        <v>99999</v>
      </c>
      <c r="I220" t="s">
        <v>40</v>
      </c>
      <c r="J220" t="s">
        <v>104</v>
      </c>
      <c r="K220" t="s">
        <v>105</v>
      </c>
      <c r="L220" s="4"/>
      <c r="M220" t="s">
        <v>72</v>
      </c>
      <c r="N220" t="s">
        <v>127</v>
      </c>
      <c r="O220" t="s">
        <v>124</v>
      </c>
      <c r="P220" t="s">
        <v>125</v>
      </c>
      <c r="Q220" t="s">
        <v>126</v>
      </c>
      <c r="R220">
        <v>99999</v>
      </c>
      <c r="S220" t="s">
        <v>40</v>
      </c>
      <c r="U220" t="s">
        <v>48</v>
      </c>
      <c r="V220" t="s">
        <v>49</v>
      </c>
      <c r="W220">
        <v>3.5</v>
      </c>
      <c r="X220">
        <v>91</v>
      </c>
      <c r="Y220" s="6">
        <v>318.5</v>
      </c>
      <c r="Z220" s="5">
        <v>31.213000000000001</v>
      </c>
    </row>
    <row r="221" spans="1:26" hidden="1">
      <c r="A221">
        <v>1252</v>
      </c>
      <c r="B221" s="4">
        <v>41893</v>
      </c>
      <c r="C221">
        <v>11</v>
      </c>
      <c r="D221" t="s">
        <v>123</v>
      </c>
      <c r="E221" t="s">
        <v>124</v>
      </c>
      <c r="F221" t="s">
        <v>125</v>
      </c>
      <c r="G221" t="s">
        <v>126</v>
      </c>
      <c r="H221">
        <v>99999</v>
      </c>
      <c r="I221" t="s">
        <v>40</v>
      </c>
      <c r="J221" t="s">
        <v>104</v>
      </c>
      <c r="K221" t="s">
        <v>105</v>
      </c>
      <c r="L221" s="4"/>
      <c r="M221" t="s">
        <v>72</v>
      </c>
      <c r="N221" t="s">
        <v>127</v>
      </c>
      <c r="O221" t="s">
        <v>124</v>
      </c>
      <c r="P221" t="s">
        <v>125</v>
      </c>
      <c r="Q221" t="s">
        <v>126</v>
      </c>
      <c r="R221">
        <v>99999</v>
      </c>
      <c r="S221" t="s">
        <v>40</v>
      </c>
      <c r="U221" t="s">
        <v>113</v>
      </c>
      <c r="V221" t="s">
        <v>47</v>
      </c>
      <c r="W221">
        <v>2.99</v>
      </c>
      <c r="X221">
        <v>64</v>
      </c>
      <c r="Y221" s="6">
        <v>191.36</v>
      </c>
      <c r="Z221" s="5">
        <v>19.518719999999998</v>
      </c>
    </row>
    <row r="222" spans="1:26" hidden="1">
      <c r="A222">
        <v>1253</v>
      </c>
      <c r="B222" s="4">
        <v>41883</v>
      </c>
      <c r="C222">
        <v>1</v>
      </c>
      <c r="D222" t="s">
        <v>128</v>
      </c>
      <c r="E222" t="s">
        <v>129</v>
      </c>
      <c r="F222" t="s">
        <v>130</v>
      </c>
      <c r="G222" t="s">
        <v>131</v>
      </c>
      <c r="H222">
        <v>99999</v>
      </c>
      <c r="I222" t="s">
        <v>40</v>
      </c>
      <c r="J222" t="s">
        <v>70</v>
      </c>
      <c r="K222" t="s">
        <v>71</v>
      </c>
      <c r="L222" s="4"/>
      <c r="N222" t="s">
        <v>132</v>
      </c>
      <c r="O222" t="s">
        <v>129</v>
      </c>
      <c r="P222" t="s">
        <v>130</v>
      </c>
      <c r="Q222" t="s">
        <v>131</v>
      </c>
      <c r="R222">
        <v>99999</v>
      </c>
      <c r="S222" t="s">
        <v>40</v>
      </c>
      <c r="U222" t="s">
        <v>64</v>
      </c>
      <c r="V222" t="s">
        <v>47</v>
      </c>
      <c r="W222">
        <v>18</v>
      </c>
      <c r="X222">
        <v>58</v>
      </c>
      <c r="Y222" s="6">
        <v>1044</v>
      </c>
      <c r="Z222" s="5">
        <v>103.35599999999999</v>
      </c>
    </row>
    <row r="223" spans="1:26" hidden="1">
      <c r="A223">
        <v>1254</v>
      </c>
      <c r="B223" s="4">
        <v>41883</v>
      </c>
      <c r="C223">
        <v>1</v>
      </c>
      <c r="D223" t="s">
        <v>128</v>
      </c>
      <c r="E223" t="s">
        <v>129</v>
      </c>
      <c r="F223" t="s">
        <v>130</v>
      </c>
      <c r="G223" t="s">
        <v>131</v>
      </c>
      <c r="H223">
        <v>99999</v>
      </c>
      <c r="I223" t="s">
        <v>40</v>
      </c>
      <c r="J223" t="s">
        <v>70</v>
      </c>
      <c r="K223" t="s">
        <v>71</v>
      </c>
      <c r="L223" s="4"/>
      <c r="N223" t="s">
        <v>132</v>
      </c>
      <c r="O223" t="s">
        <v>129</v>
      </c>
      <c r="P223" t="s">
        <v>130</v>
      </c>
      <c r="Q223" t="s">
        <v>131</v>
      </c>
      <c r="R223">
        <v>99999</v>
      </c>
      <c r="S223" t="s">
        <v>40</v>
      </c>
      <c r="U223" t="s">
        <v>65</v>
      </c>
      <c r="V223" t="s">
        <v>47</v>
      </c>
      <c r="W223" s="5">
        <v>46</v>
      </c>
      <c r="X223">
        <v>97</v>
      </c>
      <c r="Y223" s="6">
        <v>4462</v>
      </c>
      <c r="Z223" s="5">
        <v>464.048</v>
      </c>
    </row>
    <row r="224" spans="1:26" hidden="1">
      <c r="A224">
        <v>1255</v>
      </c>
      <c r="B224" s="4">
        <v>41883</v>
      </c>
      <c r="C224">
        <v>1</v>
      </c>
      <c r="D224" t="s">
        <v>128</v>
      </c>
      <c r="E224" t="s">
        <v>129</v>
      </c>
      <c r="F224" t="s">
        <v>130</v>
      </c>
      <c r="G224" t="s">
        <v>131</v>
      </c>
      <c r="H224">
        <v>99999</v>
      </c>
      <c r="I224" t="s">
        <v>40</v>
      </c>
      <c r="J224" t="s">
        <v>70</v>
      </c>
      <c r="K224" t="s">
        <v>71</v>
      </c>
      <c r="L224" s="4"/>
      <c r="N224" t="s">
        <v>132</v>
      </c>
      <c r="O224" t="s">
        <v>129</v>
      </c>
      <c r="P224" t="s">
        <v>130</v>
      </c>
      <c r="Q224" t="s">
        <v>131</v>
      </c>
      <c r="R224">
        <v>99999</v>
      </c>
      <c r="S224" t="s">
        <v>40</v>
      </c>
      <c r="U224" t="s">
        <v>113</v>
      </c>
      <c r="V224" t="s">
        <v>47</v>
      </c>
      <c r="W224" s="5">
        <v>2.99</v>
      </c>
      <c r="X224">
        <v>14</v>
      </c>
      <c r="Y224" s="6">
        <v>41.86</v>
      </c>
      <c r="Z224" s="5">
        <v>4.35344</v>
      </c>
    </row>
    <row r="225" spans="1:26" hidden="1">
      <c r="A225">
        <v>1256</v>
      </c>
      <c r="B225" s="4">
        <v>41910</v>
      </c>
      <c r="C225">
        <v>28</v>
      </c>
      <c r="D225" t="s">
        <v>100</v>
      </c>
      <c r="E225" t="s">
        <v>101</v>
      </c>
      <c r="F225" t="s">
        <v>102</v>
      </c>
      <c r="G225" t="s">
        <v>103</v>
      </c>
      <c r="H225">
        <v>99999</v>
      </c>
      <c r="I225" t="s">
        <v>40</v>
      </c>
      <c r="J225" t="s">
        <v>104</v>
      </c>
      <c r="K225" t="s">
        <v>105</v>
      </c>
      <c r="L225" s="4">
        <v>41912</v>
      </c>
      <c r="M225" t="s">
        <v>72</v>
      </c>
      <c r="N225" t="s">
        <v>106</v>
      </c>
      <c r="O225" t="s">
        <v>101</v>
      </c>
      <c r="P225" t="s">
        <v>102</v>
      </c>
      <c r="Q225" t="s">
        <v>103</v>
      </c>
      <c r="R225">
        <v>99999</v>
      </c>
      <c r="S225" t="s">
        <v>40</v>
      </c>
      <c r="T225" t="s">
        <v>58</v>
      </c>
      <c r="U225" t="s">
        <v>90</v>
      </c>
      <c r="V225" t="s">
        <v>91</v>
      </c>
      <c r="W225" s="5">
        <v>9.65</v>
      </c>
      <c r="X225">
        <v>68</v>
      </c>
      <c r="Y225" s="6">
        <v>656.2</v>
      </c>
      <c r="Z225" s="5">
        <v>64.307599999999994</v>
      </c>
    </row>
    <row r="226" spans="1:26" hidden="1">
      <c r="A226">
        <v>1257</v>
      </c>
      <c r="B226" s="4">
        <v>41910</v>
      </c>
      <c r="C226">
        <v>28</v>
      </c>
      <c r="D226" t="s">
        <v>100</v>
      </c>
      <c r="E226" t="s">
        <v>101</v>
      </c>
      <c r="F226" t="s">
        <v>102</v>
      </c>
      <c r="G226" t="s">
        <v>103</v>
      </c>
      <c r="H226">
        <v>99999</v>
      </c>
      <c r="I226" t="s">
        <v>40</v>
      </c>
      <c r="J226" t="s">
        <v>104</v>
      </c>
      <c r="K226" t="s">
        <v>105</v>
      </c>
      <c r="L226">
        <v>41912</v>
      </c>
      <c r="M226" t="s">
        <v>72</v>
      </c>
      <c r="N226" t="s">
        <v>106</v>
      </c>
      <c r="O226" t="s">
        <v>101</v>
      </c>
      <c r="P226" t="s">
        <v>102</v>
      </c>
      <c r="Q226" t="s">
        <v>103</v>
      </c>
      <c r="R226">
        <v>99999</v>
      </c>
      <c r="S226" t="s">
        <v>40</v>
      </c>
      <c r="T226" t="s">
        <v>58</v>
      </c>
      <c r="U226" t="s">
        <v>133</v>
      </c>
      <c r="V226" t="s">
        <v>134</v>
      </c>
      <c r="W226" s="5">
        <v>18.399999999999999</v>
      </c>
      <c r="X226">
        <v>32</v>
      </c>
      <c r="Y226" s="6">
        <v>588.79999999999995</v>
      </c>
      <c r="Z226" s="5">
        <v>58.88</v>
      </c>
    </row>
    <row r="227" spans="1:26" hidden="1">
      <c r="A227">
        <v>1258</v>
      </c>
      <c r="B227" s="4">
        <v>41891</v>
      </c>
      <c r="C227">
        <v>9</v>
      </c>
      <c r="D227" t="s">
        <v>135</v>
      </c>
      <c r="E227" t="s">
        <v>136</v>
      </c>
      <c r="F227" t="s">
        <v>137</v>
      </c>
      <c r="G227" t="s">
        <v>138</v>
      </c>
      <c r="H227">
        <v>99999</v>
      </c>
      <c r="I227" t="s">
        <v>40</v>
      </c>
      <c r="J227" t="s">
        <v>139</v>
      </c>
      <c r="K227" t="s">
        <v>42</v>
      </c>
      <c r="L227" s="4">
        <v>41893</v>
      </c>
      <c r="M227" t="s">
        <v>56</v>
      </c>
      <c r="N227" t="s">
        <v>140</v>
      </c>
      <c r="O227" t="s">
        <v>136</v>
      </c>
      <c r="P227" t="s">
        <v>137</v>
      </c>
      <c r="Q227" t="s">
        <v>138</v>
      </c>
      <c r="R227">
        <v>99999</v>
      </c>
      <c r="S227" t="s">
        <v>40</v>
      </c>
      <c r="T227" t="s">
        <v>45</v>
      </c>
      <c r="U227" t="s">
        <v>141</v>
      </c>
      <c r="V227" t="s">
        <v>142</v>
      </c>
      <c r="W227" s="5">
        <v>19.5</v>
      </c>
      <c r="X227">
        <v>48</v>
      </c>
      <c r="Y227" s="6">
        <v>936</v>
      </c>
      <c r="Z227" s="5">
        <v>94.536000000000001</v>
      </c>
    </row>
    <row r="228" spans="1:26" hidden="1">
      <c r="A228">
        <v>1259</v>
      </c>
      <c r="B228" s="4">
        <v>41891</v>
      </c>
      <c r="C228">
        <v>9</v>
      </c>
      <c r="D228" t="s">
        <v>135</v>
      </c>
      <c r="E228" t="s">
        <v>136</v>
      </c>
      <c r="F228" t="s">
        <v>137</v>
      </c>
      <c r="G228" t="s">
        <v>138</v>
      </c>
      <c r="H228">
        <v>99999</v>
      </c>
      <c r="I228" t="s">
        <v>40</v>
      </c>
      <c r="J228" t="s">
        <v>139</v>
      </c>
      <c r="K228" t="s">
        <v>42</v>
      </c>
      <c r="L228" s="4">
        <v>41893</v>
      </c>
      <c r="M228" t="s">
        <v>56</v>
      </c>
      <c r="N228" t="s">
        <v>140</v>
      </c>
      <c r="O228" t="s">
        <v>136</v>
      </c>
      <c r="P228" t="s">
        <v>137</v>
      </c>
      <c r="Q228" t="s">
        <v>138</v>
      </c>
      <c r="R228">
        <v>99999</v>
      </c>
      <c r="S228" t="s">
        <v>40</v>
      </c>
      <c r="T228" t="s">
        <v>45</v>
      </c>
      <c r="U228" t="s">
        <v>143</v>
      </c>
      <c r="V228" t="s">
        <v>144</v>
      </c>
      <c r="W228" s="5">
        <v>34.799999999999997</v>
      </c>
      <c r="X228">
        <v>57</v>
      </c>
      <c r="Y228" s="6">
        <v>1983.6</v>
      </c>
      <c r="Z228" s="5">
        <v>194.39279999999999</v>
      </c>
    </row>
    <row r="229" spans="1:26" hidden="1">
      <c r="A229">
        <v>1260</v>
      </c>
      <c r="B229" s="4">
        <v>41888</v>
      </c>
      <c r="C229">
        <v>6</v>
      </c>
      <c r="D229" t="s">
        <v>92</v>
      </c>
      <c r="E229" t="s">
        <v>93</v>
      </c>
      <c r="F229" t="s">
        <v>94</v>
      </c>
      <c r="G229" t="s">
        <v>95</v>
      </c>
      <c r="H229">
        <v>99999</v>
      </c>
      <c r="I229" t="s">
        <v>40</v>
      </c>
      <c r="J229" t="s">
        <v>96</v>
      </c>
      <c r="K229" t="s">
        <v>71</v>
      </c>
      <c r="L229" s="4">
        <v>41890</v>
      </c>
      <c r="M229" t="s">
        <v>43</v>
      </c>
      <c r="N229" t="s">
        <v>97</v>
      </c>
      <c r="O229" t="s">
        <v>93</v>
      </c>
      <c r="P229" t="s">
        <v>94</v>
      </c>
      <c r="Q229" t="s">
        <v>95</v>
      </c>
      <c r="R229">
        <v>99999</v>
      </c>
      <c r="S229" t="s">
        <v>40</v>
      </c>
      <c r="T229" t="s">
        <v>58</v>
      </c>
      <c r="U229" t="s">
        <v>46</v>
      </c>
      <c r="V229" t="s">
        <v>47</v>
      </c>
      <c r="W229" s="5">
        <v>14</v>
      </c>
      <c r="X229">
        <v>67</v>
      </c>
      <c r="Y229" s="6">
        <v>938</v>
      </c>
      <c r="Z229" s="5">
        <v>98.49</v>
      </c>
    </row>
    <row r="230" spans="1:26" hidden="1">
      <c r="A230">
        <v>1261</v>
      </c>
      <c r="B230" s="4">
        <v>41890</v>
      </c>
      <c r="C230">
        <v>8</v>
      </c>
      <c r="D230" t="s">
        <v>66</v>
      </c>
      <c r="E230" t="s">
        <v>67</v>
      </c>
      <c r="F230" t="s">
        <v>68</v>
      </c>
      <c r="G230" t="s">
        <v>69</v>
      </c>
      <c r="H230">
        <v>99999</v>
      </c>
      <c r="I230" t="s">
        <v>40</v>
      </c>
      <c r="J230" t="s">
        <v>70</v>
      </c>
      <c r="K230" t="s">
        <v>71</v>
      </c>
      <c r="L230">
        <v>41892</v>
      </c>
      <c r="M230" t="s">
        <v>43</v>
      </c>
      <c r="N230" t="s">
        <v>73</v>
      </c>
      <c r="O230" t="s">
        <v>67</v>
      </c>
      <c r="P230" t="s">
        <v>68</v>
      </c>
      <c r="Q230" t="s">
        <v>69</v>
      </c>
      <c r="R230">
        <v>99999</v>
      </c>
      <c r="S230" t="s">
        <v>40</v>
      </c>
      <c r="T230" t="s">
        <v>45</v>
      </c>
      <c r="U230" t="s">
        <v>98</v>
      </c>
      <c r="V230" t="s">
        <v>99</v>
      </c>
      <c r="W230" s="5">
        <v>40</v>
      </c>
      <c r="X230">
        <v>48</v>
      </c>
      <c r="Y230" s="6">
        <v>1920</v>
      </c>
      <c r="Z230" s="5">
        <v>188.16</v>
      </c>
    </row>
    <row r="231" spans="1:26">
      <c r="A231">
        <v>1262</v>
      </c>
      <c r="B231" s="4">
        <v>41890</v>
      </c>
      <c r="C231">
        <v>8</v>
      </c>
      <c r="D231" t="s">
        <v>66</v>
      </c>
      <c r="E231" t="s">
        <v>67</v>
      </c>
      <c r="F231" t="s">
        <v>68</v>
      </c>
      <c r="G231" t="s">
        <v>69</v>
      </c>
      <c r="H231">
        <v>99999</v>
      </c>
      <c r="I231" t="s">
        <v>40</v>
      </c>
      <c r="J231" t="s">
        <v>70</v>
      </c>
      <c r="K231" t="s">
        <v>71</v>
      </c>
      <c r="L231">
        <v>41892</v>
      </c>
      <c r="M231" t="s">
        <v>43</v>
      </c>
      <c r="N231" t="s">
        <v>73</v>
      </c>
      <c r="O231" t="s">
        <v>67</v>
      </c>
      <c r="P231" t="s">
        <v>68</v>
      </c>
      <c r="Q231" t="s">
        <v>69</v>
      </c>
      <c r="R231">
        <v>99999</v>
      </c>
      <c r="S231" t="s">
        <v>40</v>
      </c>
      <c r="T231" t="s">
        <v>45</v>
      </c>
      <c r="U231" t="s">
        <v>74</v>
      </c>
      <c r="V231" t="s">
        <v>75</v>
      </c>
      <c r="W231" s="5">
        <v>9.1999999999999993</v>
      </c>
      <c r="X231">
        <v>77</v>
      </c>
      <c r="Y231" s="6">
        <v>708.4</v>
      </c>
      <c r="Z231" s="5">
        <v>72.256799999999998</v>
      </c>
    </row>
    <row r="232" spans="1:26">
      <c r="A232">
        <v>1263</v>
      </c>
      <c r="B232" s="4">
        <v>41907</v>
      </c>
      <c r="C232">
        <v>25</v>
      </c>
      <c r="D232" t="s">
        <v>148</v>
      </c>
      <c r="E232" t="s">
        <v>149</v>
      </c>
      <c r="F232" t="s">
        <v>109</v>
      </c>
      <c r="G232" t="s">
        <v>110</v>
      </c>
      <c r="H232">
        <v>99999</v>
      </c>
      <c r="I232" t="s">
        <v>40</v>
      </c>
      <c r="J232" t="s">
        <v>111</v>
      </c>
      <c r="K232" t="s">
        <v>55</v>
      </c>
      <c r="L232">
        <v>41909</v>
      </c>
      <c r="M232" t="s">
        <v>56</v>
      </c>
      <c r="N232" t="s">
        <v>150</v>
      </c>
      <c r="O232" t="s">
        <v>149</v>
      </c>
      <c r="P232" t="s">
        <v>109</v>
      </c>
      <c r="Q232" t="s">
        <v>110</v>
      </c>
      <c r="R232">
        <v>99999</v>
      </c>
      <c r="S232" t="s">
        <v>40</v>
      </c>
      <c r="T232" t="s">
        <v>89</v>
      </c>
      <c r="U232" t="s">
        <v>157</v>
      </c>
      <c r="V232" t="s">
        <v>75</v>
      </c>
      <c r="W232" s="5">
        <v>10</v>
      </c>
      <c r="X232">
        <v>94</v>
      </c>
      <c r="Y232" s="6">
        <v>940</v>
      </c>
      <c r="Z232" s="5">
        <v>97.76</v>
      </c>
    </row>
    <row r="233" spans="1:26" hidden="1">
      <c r="A233">
        <v>1264</v>
      </c>
      <c r="B233" s="4">
        <v>41908</v>
      </c>
      <c r="C233">
        <v>26</v>
      </c>
      <c r="D233" t="s">
        <v>151</v>
      </c>
      <c r="E233" t="s">
        <v>152</v>
      </c>
      <c r="F233" t="s">
        <v>125</v>
      </c>
      <c r="G233" t="s">
        <v>126</v>
      </c>
      <c r="H233">
        <v>99999</v>
      </c>
      <c r="I233" t="s">
        <v>40</v>
      </c>
      <c r="J233" t="s">
        <v>104</v>
      </c>
      <c r="K233" t="s">
        <v>105</v>
      </c>
      <c r="L233">
        <v>41910</v>
      </c>
      <c r="M233" t="s">
        <v>72</v>
      </c>
      <c r="N233" t="s">
        <v>153</v>
      </c>
      <c r="O233" t="s">
        <v>152</v>
      </c>
      <c r="P233" t="s">
        <v>125</v>
      </c>
      <c r="Q233" t="s">
        <v>126</v>
      </c>
      <c r="R233">
        <v>99999</v>
      </c>
      <c r="S233" t="s">
        <v>40</v>
      </c>
      <c r="T233" t="s">
        <v>58</v>
      </c>
      <c r="U233" t="s">
        <v>158</v>
      </c>
      <c r="V233" t="s">
        <v>159</v>
      </c>
      <c r="W233" s="5">
        <v>21.35</v>
      </c>
      <c r="X233">
        <v>54</v>
      </c>
      <c r="Y233" s="6">
        <v>1152.9000000000001</v>
      </c>
      <c r="Z233" s="5">
        <v>121.0545</v>
      </c>
    </row>
    <row r="234" spans="1:26" hidden="1">
      <c r="A234">
        <v>1265</v>
      </c>
      <c r="B234" s="4">
        <v>41908</v>
      </c>
      <c r="C234">
        <v>26</v>
      </c>
      <c r="D234" t="s">
        <v>151</v>
      </c>
      <c r="E234" t="s">
        <v>152</v>
      </c>
      <c r="F234" t="s">
        <v>125</v>
      </c>
      <c r="G234" t="s">
        <v>126</v>
      </c>
      <c r="H234">
        <v>99999</v>
      </c>
      <c r="I234" t="s">
        <v>40</v>
      </c>
      <c r="J234" t="s">
        <v>104</v>
      </c>
      <c r="K234" t="s">
        <v>105</v>
      </c>
      <c r="L234">
        <v>41910</v>
      </c>
      <c r="M234" t="s">
        <v>72</v>
      </c>
      <c r="N234" t="s">
        <v>153</v>
      </c>
      <c r="O234" t="s">
        <v>152</v>
      </c>
      <c r="P234" t="s">
        <v>125</v>
      </c>
      <c r="Q234" t="s">
        <v>126</v>
      </c>
      <c r="R234">
        <v>99999</v>
      </c>
      <c r="S234" t="s">
        <v>40</v>
      </c>
      <c r="T234" t="s">
        <v>58</v>
      </c>
      <c r="U234" t="s">
        <v>90</v>
      </c>
      <c r="V234" t="s">
        <v>91</v>
      </c>
      <c r="W234" s="5">
        <v>9.65</v>
      </c>
      <c r="X234">
        <v>43</v>
      </c>
      <c r="Y234" s="6">
        <v>414.95</v>
      </c>
      <c r="Z234" s="5">
        <v>40.250149999999998</v>
      </c>
    </row>
    <row r="235" spans="1:26" hidden="1">
      <c r="A235">
        <v>1266</v>
      </c>
      <c r="B235" s="4">
        <v>41908</v>
      </c>
      <c r="C235">
        <v>26</v>
      </c>
      <c r="D235" t="s">
        <v>151</v>
      </c>
      <c r="E235" t="s">
        <v>152</v>
      </c>
      <c r="F235" t="s">
        <v>125</v>
      </c>
      <c r="G235" t="s">
        <v>126</v>
      </c>
      <c r="H235">
        <v>99999</v>
      </c>
      <c r="I235" t="s">
        <v>40</v>
      </c>
      <c r="J235" t="s">
        <v>104</v>
      </c>
      <c r="K235" t="s">
        <v>105</v>
      </c>
      <c r="L235" s="4">
        <v>41910</v>
      </c>
      <c r="M235" t="s">
        <v>72</v>
      </c>
      <c r="N235" t="s">
        <v>153</v>
      </c>
      <c r="O235" t="s">
        <v>152</v>
      </c>
      <c r="P235" t="s">
        <v>125</v>
      </c>
      <c r="Q235" t="s">
        <v>126</v>
      </c>
      <c r="R235">
        <v>99999</v>
      </c>
      <c r="S235" t="s">
        <v>40</v>
      </c>
      <c r="T235" t="s">
        <v>58</v>
      </c>
      <c r="U235" t="s">
        <v>133</v>
      </c>
      <c r="V235" t="s">
        <v>134</v>
      </c>
      <c r="W235" s="5">
        <v>18.399999999999999</v>
      </c>
      <c r="X235">
        <v>71</v>
      </c>
      <c r="Y235" s="6">
        <v>1306.4000000000001</v>
      </c>
      <c r="Z235" s="5">
        <v>134.5592</v>
      </c>
    </row>
    <row r="236" spans="1:26" hidden="1">
      <c r="A236">
        <v>1267</v>
      </c>
      <c r="B236" s="4">
        <v>41911</v>
      </c>
      <c r="C236">
        <v>29</v>
      </c>
      <c r="D236" t="s">
        <v>76</v>
      </c>
      <c r="E236" t="s">
        <v>77</v>
      </c>
      <c r="F236" t="s">
        <v>78</v>
      </c>
      <c r="G236" t="s">
        <v>79</v>
      </c>
      <c r="H236">
        <v>99999</v>
      </c>
      <c r="I236" t="s">
        <v>40</v>
      </c>
      <c r="J236" t="s">
        <v>80</v>
      </c>
      <c r="K236" t="s">
        <v>42</v>
      </c>
      <c r="L236" s="4">
        <v>41913</v>
      </c>
      <c r="M236" t="s">
        <v>43</v>
      </c>
      <c r="N236" t="s">
        <v>81</v>
      </c>
      <c r="O236" t="s">
        <v>77</v>
      </c>
      <c r="P236" t="s">
        <v>78</v>
      </c>
      <c r="Q236" t="s">
        <v>79</v>
      </c>
      <c r="R236">
        <v>99999</v>
      </c>
      <c r="S236" t="s">
        <v>40</v>
      </c>
      <c r="T236" t="s">
        <v>45</v>
      </c>
      <c r="U236" t="s">
        <v>46</v>
      </c>
      <c r="V236" t="s">
        <v>47</v>
      </c>
      <c r="W236" s="5">
        <v>14</v>
      </c>
      <c r="X236">
        <v>50</v>
      </c>
      <c r="Y236" s="6">
        <v>700</v>
      </c>
      <c r="Z236" s="5">
        <v>67.2</v>
      </c>
    </row>
    <row r="237" spans="1:26" hidden="1">
      <c r="A237">
        <v>1268</v>
      </c>
      <c r="B237" s="4">
        <v>41888</v>
      </c>
      <c r="C237">
        <v>6</v>
      </c>
      <c r="D237" t="s">
        <v>92</v>
      </c>
      <c r="E237" t="s">
        <v>93</v>
      </c>
      <c r="F237" t="s">
        <v>94</v>
      </c>
      <c r="G237" t="s">
        <v>95</v>
      </c>
      <c r="H237">
        <v>99999</v>
      </c>
      <c r="I237" t="s">
        <v>40</v>
      </c>
      <c r="J237" t="s">
        <v>96</v>
      </c>
      <c r="K237" t="s">
        <v>71</v>
      </c>
      <c r="L237" s="4">
        <v>41890</v>
      </c>
      <c r="M237" t="s">
        <v>72</v>
      </c>
      <c r="N237" t="s">
        <v>97</v>
      </c>
      <c r="O237" t="s">
        <v>93</v>
      </c>
      <c r="P237" t="s">
        <v>94</v>
      </c>
      <c r="Q237" t="s">
        <v>95</v>
      </c>
      <c r="R237">
        <v>99999</v>
      </c>
      <c r="S237" t="s">
        <v>40</v>
      </c>
      <c r="T237" t="s">
        <v>45</v>
      </c>
      <c r="U237" t="s">
        <v>82</v>
      </c>
      <c r="V237" t="s">
        <v>83</v>
      </c>
      <c r="W237" s="5">
        <v>12.75</v>
      </c>
      <c r="X237">
        <v>96</v>
      </c>
      <c r="Y237" s="6">
        <v>1224</v>
      </c>
      <c r="Z237" s="5">
        <v>119.952</v>
      </c>
    </row>
    <row r="238" spans="1:26" hidden="1">
      <c r="A238">
        <v>1270</v>
      </c>
      <c r="B238" s="4">
        <v>41886</v>
      </c>
      <c r="C238">
        <v>4</v>
      </c>
      <c r="D238" t="s">
        <v>50</v>
      </c>
      <c r="E238" t="s">
        <v>51</v>
      </c>
      <c r="F238" t="s">
        <v>52</v>
      </c>
      <c r="G238" t="s">
        <v>53</v>
      </c>
      <c r="H238">
        <v>99999</v>
      </c>
      <c r="I238" t="s">
        <v>40</v>
      </c>
      <c r="J238" t="s">
        <v>54</v>
      </c>
      <c r="K238" t="s">
        <v>55</v>
      </c>
      <c r="L238" s="4">
        <v>41888</v>
      </c>
      <c r="M238" t="s">
        <v>56</v>
      </c>
      <c r="N238" t="s">
        <v>57</v>
      </c>
      <c r="O238" t="s">
        <v>51</v>
      </c>
      <c r="P238" t="s">
        <v>52</v>
      </c>
      <c r="Q238" t="s">
        <v>53</v>
      </c>
      <c r="R238">
        <v>99999</v>
      </c>
      <c r="S238" t="s">
        <v>40</v>
      </c>
      <c r="T238" t="s">
        <v>58</v>
      </c>
      <c r="U238" t="s">
        <v>160</v>
      </c>
      <c r="V238" t="s">
        <v>120</v>
      </c>
      <c r="W238" s="5">
        <v>81</v>
      </c>
      <c r="X238">
        <v>54</v>
      </c>
      <c r="Y238" s="6">
        <v>4374</v>
      </c>
      <c r="Z238" s="5">
        <v>437.4</v>
      </c>
    </row>
    <row r="239" spans="1:26" hidden="1">
      <c r="A239">
        <v>1271</v>
      </c>
      <c r="B239" s="4">
        <v>41886</v>
      </c>
      <c r="C239">
        <v>4</v>
      </c>
      <c r="D239" t="s">
        <v>50</v>
      </c>
      <c r="E239" t="s">
        <v>51</v>
      </c>
      <c r="F239" t="s">
        <v>52</v>
      </c>
      <c r="G239" t="s">
        <v>53</v>
      </c>
      <c r="H239">
        <v>99999</v>
      </c>
      <c r="I239" t="s">
        <v>40</v>
      </c>
      <c r="J239" t="s">
        <v>54</v>
      </c>
      <c r="K239" t="s">
        <v>55</v>
      </c>
      <c r="L239" s="4">
        <v>41888</v>
      </c>
      <c r="M239" t="s">
        <v>56</v>
      </c>
      <c r="N239" t="s">
        <v>57</v>
      </c>
      <c r="O239" t="s">
        <v>51</v>
      </c>
      <c r="P239" t="s">
        <v>52</v>
      </c>
      <c r="Q239" t="s">
        <v>53</v>
      </c>
      <c r="R239">
        <v>99999</v>
      </c>
      <c r="S239" t="s">
        <v>40</v>
      </c>
      <c r="T239" t="s">
        <v>58</v>
      </c>
      <c r="U239" t="s">
        <v>161</v>
      </c>
      <c r="V239" t="s">
        <v>162</v>
      </c>
      <c r="W239" s="5">
        <v>7</v>
      </c>
      <c r="X239">
        <v>39</v>
      </c>
      <c r="Y239" s="6">
        <v>273</v>
      </c>
      <c r="Z239" s="5">
        <v>27.3</v>
      </c>
    </row>
    <row r="240" spans="1:26" hidden="1">
      <c r="A240">
        <v>1273</v>
      </c>
      <c r="B240" s="4">
        <v>41890</v>
      </c>
      <c r="C240">
        <v>8</v>
      </c>
      <c r="D240" t="s">
        <v>66</v>
      </c>
      <c r="E240" t="s">
        <v>67</v>
      </c>
      <c r="F240" t="s">
        <v>68</v>
      </c>
      <c r="G240" t="s">
        <v>69</v>
      </c>
      <c r="H240">
        <v>99999</v>
      </c>
      <c r="I240" t="s">
        <v>40</v>
      </c>
      <c r="J240" t="s">
        <v>70</v>
      </c>
      <c r="K240" t="s">
        <v>71</v>
      </c>
      <c r="L240" s="4">
        <v>41892</v>
      </c>
      <c r="M240" t="s">
        <v>72</v>
      </c>
      <c r="N240" t="s">
        <v>73</v>
      </c>
      <c r="O240" t="s">
        <v>67</v>
      </c>
      <c r="P240" t="s">
        <v>68</v>
      </c>
      <c r="Q240" t="s">
        <v>69</v>
      </c>
      <c r="R240">
        <v>99999</v>
      </c>
      <c r="S240" t="s">
        <v>40</v>
      </c>
      <c r="T240" t="s">
        <v>58</v>
      </c>
      <c r="U240" t="s">
        <v>143</v>
      </c>
      <c r="V240" t="s">
        <v>144</v>
      </c>
      <c r="W240" s="5">
        <v>34.799999999999997</v>
      </c>
      <c r="X240">
        <v>63</v>
      </c>
      <c r="Y240" s="6">
        <v>2192.4</v>
      </c>
      <c r="Z240" s="5">
        <v>230.202</v>
      </c>
    </row>
    <row r="241" spans="1:26" hidden="1">
      <c r="A241">
        <v>1276</v>
      </c>
      <c r="B241" s="4">
        <v>41885</v>
      </c>
      <c r="C241">
        <v>3</v>
      </c>
      <c r="D241" t="s">
        <v>84</v>
      </c>
      <c r="E241" t="s">
        <v>85</v>
      </c>
      <c r="F241" t="s">
        <v>86</v>
      </c>
      <c r="G241" t="s">
        <v>87</v>
      </c>
      <c r="H241">
        <v>99999</v>
      </c>
      <c r="I241" t="s">
        <v>40</v>
      </c>
      <c r="J241" t="s">
        <v>41</v>
      </c>
      <c r="K241" t="s">
        <v>42</v>
      </c>
      <c r="L241" s="4">
        <v>41887</v>
      </c>
      <c r="M241" t="s">
        <v>43</v>
      </c>
      <c r="N241" t="s">
        <v>88</v>
      </c>
      <c r="O241" t="s">
        <v>85</v>
      </c>
      <c r="P241" t="s">
        <v>86</v>
      </c>
      <c r="Q241" t="s">
        <v>87</v>
      </c>
      <c r="R241">
        <v>99999</v>
      </c>
      <c r="S241" t="s">
        <v>40</v>
      </c>
      <c r="T241" t="s">
        <v>89</v>
      </c>
      <c r="U241" t="s">
        <v>145</v>
      </c>
      <c r="V241" t="s">
        <v>122</v>
      </c>
      <c r="W241" s="5">
        <v>10</v>
      </c>
      <c r="X241">
        <v>71</v>
      </c>
      <c r="Y241" s="6">
        <v>710</v>
      </c>
      <c r="Z241" s="5">
        <v>73.13</v>
      </c>
    </row>
    <row r="242" spans="1:26" hidden="1">
      <c r="A242">
        <v>1277</v>
      </c>
      <c r="B242" s="4">
        <v>41885</v>
      </c>
      <c r="C242">
        <v>3</v>
      </c>
      <c r="D242" t="s">
        <v>84</v>
      </c>
      <c r="E242" t="s">
        <v>85</v>
      </c>
      <c r="F242" t="s">
        <v>86</v>
      </c>
      <c r="G242" t="s">
        <v>87</v>
      </c>
      <c r="H242">
        <v>99999</v>
      </c>
      <c r="I242" t="s">
        <v>40</v>
      </c>
      <c r="J242" t="s">
        <v>41</v>
      </c>
      <c r="K242" t="s">
        <v>42</v>
      </c>
      <c r="L242" s="4">
        <v>41887</v>
      </c>
      <c r="M242" t="s">
        <v>43</v>
      </c>
      <c r="N242" t="s">
        <v>88</v>
      </c>
      <c r="O242" t="s">
        <v>85</v>
      </c>
      <c r="P242" t="s">
        <v>86</v>
      </c>
      <c r="Q242" t="s">
        <v>87</v>
      </c>
      <c r="R242">
        <v>99999</v>
      </c>
      <c r="S242" t="s">
        <v>40</v>
      </c>
      <c r="T242" t="s">
        <v>89</v>
      </c>
      <c r="U242" t="s">
        <v>98</v>
      </c>
      <c r="V242" t="s">
        <v>99</v>
      </c>
      <c r="W242" s="5">
        <v>40</v>
      </c>
      <c r="X242">
        <v>88</v>
      </c>
      <c r="Y242" s="6">
        <v>3520</v>
      </c>
      <c r="Z242" s="5">
        <v>366.08</v>
      </c>
    </row>
    <row r="243" spans="1:26" hidden="1">
      <c r="A243">
        <v>1281</v>
      </c>
      <c r="B243" s="4">
        <v>41892</v>
      </c>
      <c r="C243">
        <v>10</v>
      </c>
      <c r="D243" t="s">
        <v>107</v>
      </c>
      <c r="E243" t="s">
        <v>108</v>
      </c>
      <c r="F243" t="s">
        <v>109</v>
      </c>
      <c r="G243" t="s">
        <v>110</v>
      </c>
      <c r="H243">
        <v>99999</v>
      </c>
      <c r="I243" t="s">
        <v>40</v>
      </c>
      <c r="J243" t="s">
        <v>111</v>
      </c>
      <c r="K243" t="s">
        <v>55</v>
      </c>
      <c r="L243" s="4">
        <v>41894</v>
      </c>
      <c r="M243" t="s">
        <v>43</v>
      </c>
      <c r="N243" t="s">
        <v>112</v>
      </c>
      <c r="O243" t="s">
        <v>108</v>
      </c>
      <c r="P243" t="s">
        <v>109</v>
      </c>
      <c r="Q243" t="s">
        <v>110</v>
      </c>
      <c r="R243">
        <v>99999</v>
      </c>
      <c r="S243" t="s">
        <v>40</v>
      </c>
      <c r="T243" t="s">
        <v>58</v>
      </c>
      <c r="U243" t="s">
        <v>147</v>
      </c>
      <c r="V243" t="s">
        <v>49</v>
      </c>
      <c r="W243" s="5">
        <v>10</v>
      </c>
      <c r="X243">
        <v>59</v>
      </c>
      <c r="Y243" s="6">
        <v>590</v>
      </c>
      <c r="Z243" s="5">
        <v>59.59</v>
      </c>
    </row>
    <row r="244" spans="1:26" hidden="1">
      <c r="A244">
        <v>1282</v>
      </c>
      <c r="B244" s="4">
        <v>41918</v>
      </c>
      <c r="C244">
        <v>6</v>
      </c>
      <c r="D244" t="s">
        <v>92</v>
      </c>
      <c r="E244" t="s">
        <v>93</v>
      </c>
      <c r="F244" t="s">
        <v>94</v>
      </c>
      <c r="G244" t="s">
        <v>95</v>
      </c>
      <c r="H244">
        <v>99999</v>
      </c>
      <c r="I244" t="s">
        <v>40</v>
      </c>
      <c r="J244" t="s">
        <v>96</v>
      </c>
      <c r="K244" t="s">
        <v>71</v>
      </c>
      <c r="L244" s="4">
        <v>41920</v>
      </c>
      <c r="M244" t="s">
        <v>43</v>
      </c>
      <c r="N244" t="s">
        <v>97</v>
      </c>
      <c r="O244" t="s">
        <v>93</v>
      </c>
      <c r="P244" t="s">
        <v>94</v>
      </c>
      <c r="Q244" t="s">
        <v>95</v>
      </c>
      <c r="R244">
        <v>99999</v>
      </c>
      <c r="S244" t="s">
        <v>40</v>
      </c>
      <c r="T244" t="s">
        <v>58</v>
      </c>
      <c r="U244" t="s">
        <v>98</v>
      </c>
      <c r="V244" t="s">
        <v>99</v>
      </c>
      <c r="W244" s="5">
        <v>40</v>
      </c>
      <c r="X244">
        <v>94</v>
      </c>
      <c r="Y244" s="6">
        <v>3760</v>
      </c>
      <c r="Z244" s="5">
        <v>376</v>
      </c>
    </row>
    <row r="245" spans="1:26" hidden="1">
      <c r="A245">
        <v>1283</v>
      </c>
      <c r="B245" s="4">
        <v>41940</v>
      </c>
      <c r="C245">
        <v>28</v>
      </c>
      <c r="D245" t="s">
        <v>100</v>
      </c>
      <c r="E245" t="s">
        <v>101</v>
      </c>
      <c r="F245" t="s">
        <v>102</v>
      </c>
      <c r="G245" t="s">
        <v>103</v>
      </c>
      <c r="H245">
        <v>99999</v>
      </c>
      <c r="I245" t="s">
        <v>40</v>
      </c>
      <c r="J245" t="s">
        <v>104</v>
      </c>
      <c r="K245" t="s">
        <v>105</v>
      </c>
      <c r="L245" s="4">
        <v>41942</v>
      </c>
      <c r="M245" t="s">
        <v>72</v>
      </c>
      <c r="N245" t="s">
        <v>106</v>
      </c>
      <c r="O245" t="s">
        <v>101</v>
      </c>
      <c r="P245" t="s">
        <v>102</v>
      </c>
      <c r="Q245" t="s">
        <v>103</v>
      </c>
      <c r="R245">
        <v>99999</v>
      </c>
      <c r="S245" t="s">
        <v>40</v>
      </c>
      <c r="T245" t="s">
        <v>45</v>
      </c>
      <c r="U245" t="s">
        <v>65</v>
      </c>
      <c r="V245" t="s">
        <v>47</v>
      </c>
      <c r="W245" s="5">
        <v>46</v>
      </c>
      <c r="X245">
        <v>86</v>
      </c>
      <c r="Y245" s="6">
        <v>3956</v>
      </c>
      <c r="Z245" s="5">
        <v>379.77600000000001</v>
      </c>
    </row>
    <row r="246" spans="1:26" hidden="1">
      <c r="A246">
        <v>1284</v>
      </c>
      <c r="B246" s="4">
        <v>41920</v>
      </c>
      <c r="C246">
        <v>8</v>
      </c>
      <c r="D246" t="s">
        <v>66</v>
      </c>
      <c r="E246" t="s">
        <v>67</v>
      </c>
      <c r="F246" t="s">
        <v>68</v>
      </c>
      <c r="G246" t="s">
        <v>69</v>
      </c>
      <c r="H246">
        <v>99999</v>
      </c>
      <c r="I246" t="s">
        <v>40</v>
      </c>
      <c r="J246" t="s">
        <v>70</v>
      </c>
      <c r="K246" t="s">
        <v>71</v>
      </c>
      <c r="L246" s="4">
        <v>41922</v>
      </c>
      <c r="M246" t="s">
        <v>72</v>
      </c>
      <c r="N246" t="s">
        <v>73</v>
      </c>
      <c r="O246" t="s">
        <v>67</v>
      </c>
      <c r="P246" t="s">
        <v>68</v>
      </c>
      <c r="Q246" t="s">
        <v>69</v>
      </c>
      <c r="R246">
        <v>99999</v>
      </c>
      <c r="S246" t="s">
        <v>40</v>
      </c>
      <c r="T246" t="s">
        <v>45</v>
      </c>
      <c r="U246" t="s">
        <v>82</v>
      </c>
      <c r="V246" t="s">
        <v>83</v>
      </c>
      <c r="W246" s="5">
        <v>12.75</v>
      </c>
      <c r="X246">
        <v>61</v>
      </c>
      <c r="Y246" s="6">
        <v>777.75</v>
      </c>
      <c r="Z246" s="5">
        <v>78.552750000000003</v>
      </c>
    </row>
    <row r="247" spans="1:26" hidden="1">
      <c r="A247">
        <v>1285</v>
      </c>
      <c r="B247" s="4">
        <v>41922</v>
      </c>
      <c r="C247">
        <v>10</v>
      </c>
      <c r="D247" t="s">
        <v>107</v>
      </c>
      <c r="E247" t="s">
        <v>108</v>
      </c>
      <c r="F247" t="s">
        <v>109</v>
      </c>
      <c r="G247" t="s">
        <v>110</v>
      </c>
      <c r="H247">
        <v>99999</v>
      </c>
      <c r="I247" t="s">
        <v>40</v>
      </c>
      <c r="J247" t="s">
        <v>111</v>
      </c>
      <c r="K247" t="s">
        <v>55</v>
      </c>
      <c r="L247" s="4">
        <v>41924</v>
      </c>
      <c r="M247" t="s">
        <v>43</v>
      </c>
      <c r="N247" t="s">
        <v>112</v>
      </c>
      <c r="O247" t="s">
        <v>108</v>
      </c>
      <c r="P247" t="s">
        <v>109</v>
      </c>
      <c r="Q247" t="s">
        <v>110</v>
      </c>
      <c r="R247">
        <v>99999</v>
      </c>
      <c r="S247" t="s">
        <v>40</v>
      </c>
      <c r="T247" t="s">
        <v>58</v>
      </c>
      <c r="U247" t="s">
        <v>113</v>
      </c>
      <c r="V247" t="s">
        <v>47</v>
      </c>
      <c r="W247" s="5">
        <v>2.99</v>
      </c>
      <c r="X247">
        <v>32</v>
      </c>
      <c r="Y247" s="6">
        <v>95.68</v>
      </c>
      <c r="Z247" s="5">
        <v>9.7593599999999991</v>
      </c>
    </row>
    <row r="248" spans="1:26" hidden="1">
      <c r="A248">
        <v>1286</v>
      </c>
      <c r="B248" s="4">
        <v>41919</v>
      </c>
      <c r="C248">
        <v>7</v>
      </c>
      <c r="D248" t="s">
        <v>114</v>
      </c>
      <c r="E248" t="s">
        <v>115</v>
      </c>
      <c r="F248" t="s">
        <v>116</v>
      </c>
      <c r="G248" t="s">
        <v>117</v>
      </c>
      <c r="H248">
        <v>99999</v>
      </c>
      <c r="I248" t="s">
        <v>40</v>
      </c>
      <c r="J248" t="s">
        <v>70</v>
      </c>
      <c r="K248" t="s">
        <v>71</v>
      </c>
      <c r="L248" s="4"/>
      <c r="N248" t="s">
        <v>118</v>
      </c>
      <c r="O248" t="s">
        <v>115</v>
      </c>
      <c r="P248" t="s">
        <v>116</v>
      </c>
      <c r="Q248" t="s">
        <v>117</v>
      </c>
      <c r="R248">
        <v>99999</v>
      </c>
      <c r="S248" t="s">
        <v>40</v>
      </c>
      <c r="U248" t="s">
        <v>65</v>
      </c>
      <c r="V248" t="s">
        <v>47</v>
      </c>
      <c r="W248">
        <v>46</v>
      </c>
      <c r="X248">
        <v>62</v>
      </c>
      <c r="Y248" s="6">
        <v>2852</v>
      </c>
      <c r="Z248" s="5">
        <v>290.904</v>
      </c>
    </row>
    <row r="249" spans="1:26" hidden="1">
      <c r="A249">
        <v>1287</v>
      </c>
      <c r="B249" s="4">
        <v>41922</v>
      </c>
      <c r="C249">
        <v>10</v>
      </c>
      <c r="D249" t="s">
        <v>107</v>
      </c>
      <c r="E249" t="s">
        <v>108</v>
      </c>
      <c r="F249" t="s">
        <v>109</v>
      </c>
      <c r="G249" t="s">
        <v>110</v>
      </c>
      <c r="H249">
        <v>99999</v>
      </c>
      <c r="I249" t="s">
        <v>40</v>
      </c>
      <c r="J249" t="s">
        <v>111</v>
      </c>
      <c r="K249" t="s">
        <v>55</v>
      </c>
      <c r="L249" s="4">
        <v>41924</v>
      </c>
      <c r="M249" t="s">
        <v>56</v>
      </c>
      <c r="N249" t="s">
        <v>112</v>
      </c>
      <c r="O249" t="s">
        <v>108</v>
      </c>
      <c r="P249" t="s">
        <v>109</v>
      </c>
      <c r="Q249" t="s">
        <v>110</v>
      </c>
      <c r="R249">
        <v>99999</v>
      </c>
      <c r="S249" t="s">
        <v>40</v>
      </c>
      <c r="U249" t="s">
        <v>119</v>
      </c>
      <c r="V249" t="s">
        <v>120</v>
      </c>
      <c r="W249">
        <v>25</v>
      </c>
      <c r="X249">
        <v>60</v>
      </c>
      <c r="Y249" s="6">
        <v>1500</v>
      </c>
      <c r="Z249" s="5">
        <v>154.5</v>
      </c>
    </row>
    <row r="250" spans="1:26" hidden="1">
      <c r="A250">
        <v>1288</v>
      </c>
      <c r="B250" s="4">
        <v>41922</v>
      </c>
      <c r="C250">
        <v>10</v>
      </c>
      <c r="D250" t="s">
        <v>107</v>
      </c>
      <c r="E250" t="s">
        <v>108</v>
      </c>
      <c r="F250" t="s">
        <v>109</v>
      </c>
      <c r="G250" t="s">
        <v>110</v>
      </c>
      <c r="H250">
        <v>99999</v>
      </c>
      <c r="I250" t="s">
        <v>40</v>
      </c>
      <c r="J250" t="s">
        <v>111</v>
      </c>
      <c r="K250" t="s">
        <v>55</v>
      </c>
      <c r="L250" s="4">
        <v>41924</v>
      </c>
      <c r="M250" t="s">
        <v>56</v>
      </c>
      <c r="N250" t="s">
        <v>112</v>
      </c>
      <c r="O250" t="s">
        <v>108</v>
      </c>
      <c r="P250" t="s">
        <v>109</v>
      </c>
      <c r="Q250" t="s">
        <v>110</v>
      </c>
      <c r="R250">
        <v>99999</v>
      </c>
      <c r="S250" t="s">
        <v>40</v>
      </c>
      <c r="U250" t="s">
        <v>121</v>
      </c>
      <c r="V250" t="s">
        <v>122</v>
      </c>
      <c r="W250">
        <v>22</v>
      </c>
      <c r="X250">
        <v>51</v>
      </c>
      <c r="Y250" s="6">
        <v>1122</v>
      </c>
      <c r="Z250" s="5">
        <v>109.956</v>
      </c>
    </row>
    <row r="251" spans="1:26">
      <c r="A251">
        <v>1289</v>
      </c>
      <c r="B251" s="4">
        <v>41922</v>
      </c>
      <c r="C251">
        <v>10</v>
      </c>
      <c r="D251" t="s">
        <v>107</v>
      </c>
      <c r="E251" t="s">
        <v>108</v>
      </c>
      <c r="F251" t="s">
        <v>109</v>
      </c>
      <c r="G251" t="s">
        <v>110</v>
      </c>
      <c r="H251">
        <v>99999</v>
      </c>
      <c r="I251" t="s">
        <v>40</v>
      </c>
      <c r="J251" t="s">
        <v>111</v>
      </c>
      <c r="K251" t="s">
        <v>55</v>
      </c>
      <c r="L251" s="4">
        <v>41924</v>
      </c>
      <c r="M251" t="s">
        <v>56</v>
      </c>
      <c r="N251" t="s">
        <v>112</v>
      </c>
      <c r="O251" t="s">
        <v>108</v>
      </c>
      <c r="P251" t="s">
        <v>109</v>
      </c>
      <c r="Q251" t="s">
        <v>110</v>
      </c>
      <c r="R251">
        <v>99999</v>
      </c>
      <c r="S251" t="s">
        <v>40</v>
      </c>
      <c r="U251" t="s">
        <v>74</v>
      </c>
      <c r="V251" t="s">
        <v>75</v>
      </c>
      <c r="W251" s="5">
        <v>9.1999999999999993</v>
      </c>
      <c r="X251">
        <v>49</v>
      </c>
      <c r="Y251" s="6">
        <v>450.8</v>
      </c>
      <c r="Z251" s="5">
        <v>44.629199999999997</v>
      </c>
    </row>
    <row r="252" spans="1:26" hidden="1">
      <c r="A252">
        <v>1290</v>
      </c>
      <c r="B252" s="4">
        <v>41923</v>
      </c>
      <c r="C252">
        <v>11</v>
      </c>
      <c r="D252" t="s">
        <v>123</v>
      </c>
      <c r="E252" t="s">
        <v>124</v>
      </c>
      <c r="F252" t="s">
        <v>125</v>
      </c>
      <c r="G252" t="s">
        <v>126</v>
      </c>
      <c r="H252">
        <v>99999</v>
      </c>
      <c r="I252" t="s">
        <v>40</v>
      </c>
      <c r="J252" t="s">
        <v>104</v>
      </c>
      <c r="K252" t="s">
        <v>105</v>
      </c>
      <c r="M252" t="s">
        <v>72</v>
      </c>
      <c r="N252" t="s">
        <v>127</v>
      </c>
      <c r="O252" t="s">
        <v>124</v>
      </c>
      <c r="P252" t="s">
        <v>125</v>
      </c>
      <c r="Q252" t="s">
        <v>126</v>
      </c>
      <c r="R252">
        <v>99999</v>
      </c>
      <c r="S252" t="s">
        <v>40</v>
      </c>
      <c r="U252" t="s">
        <v>48</v>
      </c>
      <c r="V252" t="s">
        <v>49</v>
      </c>
      <c r="W252" s="5">
        <v>3.5</v>
      </c>
      <c r="X252">
        <v>20</v>
      </c>
      <c r="Y252" s="6">
        <v>70</v>
      </c>
      <c r="Z252" s="5">
        <v>6.93</v>
      </c>
    </row>
    <row r="253" spans="1:26" hidden="1">
      <c r="A253">
        <v>1291</v>
      </c>
      <c r="B253" s="4">
        <v>41923</v>
      </c>
      <c r="C253">
        <v>11</v>
      </c>
      <c r="D253" t="s">
        <v>123</v>
      </c>
      <c r="E253" t="s">
        <v>124</v>
      </c>
      <c r="F253" t="s">
        <v>125</v>
      </c>
      <c r="G253" t="s">
        <v>126</v>
      </c>
      <c r="H253">
        <v>99999</v>
      </c>
      <c r="I253" t="s">
        <v>40</v>
      </c>
      <c r="J253" t="s">
        <v>104</v>
      </c>
      <c r="K253" t="s">
        <v>105</v>
      </c>
      <c r="M253" t="s">
        <v>72</v>
      </c>
      <c r="N253" t="s">
        <v>127</v>
      </c>
      <c r="O253" t="s">
        <v>124</v>
      </c>
      <c r="P253" t="s">
        <v>125</v>
      </c>
      <c r="Q253" t="s">
        <v>126</v>
      </c>
      <c r="R253">
        <v>99999</v>
      </c>
      <c r="S253" t="s">
        <v>40</v>
      </c>
      <c r="U253" t="s">
        <v>113</v>
      </c>
      <c r="V253" t="s">
        <v>47</v>
      </c>
      <c r="W253" s="5">
        <v>2.99</v>
      </c>
      <c r="X253">
        <v>49</v>
      </c>
      <c r="Y253" s="6">
        <v>146.51</v>
      </c>
      <c r="Z253" s="5">
        <v>14.651</v>
      </c>
    </row>
    <row r="254" spans="1:26" hidden="1">
      <c r="A254">
        <v>1292</v>
      </c>
      <c r="B254" s="4">
        <v>41913</v>
      </c>
      <c r="C254">
        <v>1</v>
      </c>
      <c r="D254" t="s">
        <v>128</v>
      </c>
      <c r="E254" t="s">
        <v>129</v>
      </c>
      <c r="F254" t="s">
        <v>130</v>
      </c>
      <c r="G254" t="s">
        <v>131</v>
      </c>
      <c r="H254">
        <v>99999</v>
      </c>
      <c r="I254" t="s">
        <v>40</v>
      </c>
      <c r="J254" t="s">
        <v>70</v>
      </c>
      <c r="K254" t="s">
        <v>71</v>
      </c>
      <c r="N254" t="s">
        <v>132</v>
      </c>
      <c r="O254" t="s">
        <v>129</v>
      </c>
      <c r="P254" t="s">
        <v>130</v>
      </c>
      <c r="Q254" t="s">
        <v>131</v>
      </c>
      <c r="R254">
        <v>99999</v>
      </c>
      <c r="S254" t="s">
        <v>40</v>
      </c>
      <c r="U254" t="s">
        <v>64</v>
      </c>
      <c r="V254" t="s">
        <v>47</v>
      </c>
      <c r="W254" s="5">
        <v>18</v>
      </c>
      <c r="X254">
        <v>22</v>
      </c>
      <c r="Y254" s="6">
        <v>396</v>
      </c>
      <c r="Z254" s="5">
        <v>38.015999999999998</v>
      </c>
    </row>
    <row r="255" spans="1:26" hidden="1">
      <c r="A255">
        <v>1293</v>
      </c>
      <c r="B255" s="4">
        <v>41913</v>
      </c>
      <c r="C255">
        <v>1</v>
      </c>
      <c r="D255" t="s">
        <v>128</v>
      </c>
      <c r="E255" t="s">
        <v>129</v>
      </c>
      <c r="F255" t="s">
        <v>130</v>
      </c>
      <c r="G255" t="s">
        <v>131</v>
      </c>
      <c r="H255">
        <v>99999</v>
      </c>
      <c r="I255" t="s">
        <v>40</v>
      </c>
      <c r="J255" t="s">
        <v>70</v>
      </c>
      <c r="K255" t="s">
        <v>71</v>
      </c>
      <c r="N255" t="s">
        <v>132</v>
      </c>
      <c r="O255" t="s">
        <v>129</v>
      </c>
      <c r="P255" t="s">
        <v>130</v>
      </c>
      <c r="Q255" t="s">
        <v>131</v>
      </c>
      <c r="R255">
        <v>99999</v>
      </c>
      <c r="S255" t="s">
        <v>40</v>
      </c>
      <c r="U255" t="s">
        <v>65</v>
      </c>
      <c r="V255" t="s">
        <v>47</v>
      </c>
      <c r="W255" s="5">
        <v>46</v>
      </c>
      <c r="X255">
        <v>73</v>
      </c>
      <c r="Y255" s="6">
        <v>3358</v>
      </c>
      <c r="Z255" s="5">
        <v>339.15800000000002</v>
      </c>
    </row>
    <row r="256" spans="1:26" hidden="1">
      <c r="A256">
        <v>1294</v>
      </c>
      <c r="B256" s="4">
        <v>41913</v>
      </c>
      <c r="C256">
        <v>1</v>
      </c>
      <c r="D256" t="s">
        <v>128</v>
      </c>
      <c r="E256" t="s">
        <v>129</v>
      </c>
      <c r="F256" t="s">
        <v>130</v>
      </c>
      <c r="G256" t="s">
        <v>131</v>
      </c>
      <c r="H256">
        <v>99999</v>
      </c>
      <c r="I256" t="s">
        <v>40</v>
      </c>
      <c r="J256" t="s">
        <v>70</v>
      </c>
      <c r="K256" t="s">
        <v>71</v>
      </c>
      <c r="N256" t="s">
        <v>132</v>
      </c>
      <c r="O256" t="s">
        <v>129</v>
      </c>
      <c r="P256" t="s">
        <v>130</v>
      </c>
      <c r="Q256" t="s">
        <v>131</v>
      </c>
      <c r="R256">
        <v>99999</v>
      </c>
      <c r="S256" t="s">
        <v>40</v>
      </c>
      <c r="U256" t="s">
        <v>113</v>
      </c>
      <c r="V256" t="s">
        <v>47</v>
      </c>
      <c r="W256" s="5">
        <v>2.99</v>
      </c>
      <c r="X256">
        <v>85</v>
      </c>
      <c r="Y256" s="6">
        <v>254.15</v>
      </c>
      <c r="Z256" s="5">
        <v>24.652550000000002</v>
      </c>
    </row>
    <row r="257" spans="1:26" hidden="1">
      <c r="A257">
        <v>1295</v>
      </c>
      <c r="B257" s="4">
        <v>41940</v>
      </c>
      <c r="C257">
        <v>28</v>
      </c>
      <c r="D257" t="s">
        <v>100</v>
      </c>
      <c r="E257" t="s">
        <v>101</v>
      </c>
      <c r="F257" t="s">
        <v>102</v>
      </c>
      <c r="G257" t="s">
        <v>103</v>
      </c>
      <c r="H257">
        <v>99999</v>
      </c>
      <c r="I257" t="s">
        <v>40</v>
      </c>
      <c r="J257" t="s">
        <v>104</v>
      </c>
      <c r="K257" t="s">
        <v>105</v>
      </c>
      <c r="L257" s="4">
        <v>41942</v>
      </c>
      <c r="M257" t="s">
        <v>72</v>
      </c>
      <c r="N257" t="s">
        <v>106</v>
      </c>
      <c r="O257" t="s">
        <v>101</v>
      </c>
      <c r="P257" t="s">
        <v>102</v>
      </c>
      <c r="Q257" t="s">
        <v>103</v>
      </c>
      <c r="R257">
        <v>99999</v>
      </c>
      <c r="S257" t="s">
        <v>40</v>
      </c>
      <c r="T257" t="s">
        <v>58</v>
      </c>
      <c r="U257" t="s">
        <v>90</v>
      </c>
      <c r="V257" t="s">
        <v>91</v>
      </c>
      <c r="W257" s="5">
        <v>9.65</v>
      </c>
      <c r="X257">
        <v>44</v>
      </c>
      <c r="Y257" s="6">
        <v>424.6</v>
      </c>
      <c r="Z257" s="5">
        <v>44.1584</v>
      </c>
    </row>
    <row r="258" spans="1:26" hidden="1">
      <c r="A258">
        <v>1296</v>
      </c>
      <c r="B258" s="4">
        <v>41940</v>
      </c>
      <c r="C258">
        <v>28</v>
      </c>
      <c r="D258" t="s">
        <v>100</v>
      </c>
      <c r="E258" t="s">
        <v>101</v>
      </c>
      <c r="F258" t="s">
        <v>102</v>
      </c>
      <c r="G258" t="s">
        <v>103</v>
      </c>
      <c r="H258">
        <v>99999</v>
      </c>
      <c r="I258" t="s">
        <v>40</v>
      </c>
      <c r="J258" t="s">
        <v>104</v>
      </c>
      <c r="K258" t="s">
        <v>105</v>
      </c>
      <c r="L258" s="4">
        <v>41942</v>
      </c>
      <c r="M258" t="s">
        <v>72</v>
      </c>
      <c r="N258" t="s">
        <v>106</v>
      </c>
      <c r="O258" t="s">
        <v>101</v>
      </c>
      <c r="P258" t="s">
        <v>102</v>
      </c>
      <c r="Q258" t="s">
        <v>103</v>
      </c>
      <c r="R258">
        <v>99999</v>
      </c>
      <c r="S258" t="s">
        <v>40</v>
      </c>
      <c r="T258" t="s">
        <v>58</v>
      </c>
      <c r="U258" t="s">
        <v>133</v>
      </c>
      <c r="V258" t="s">
        <v>134</v>
      </c>
      <c r="W258" s="5">
        <v>18.399999999999999</v>
      </c>
      <c r="X258">
        <v>24</v>
      </c>
      <c r="Y258" s="6">
        <v>441.6</v>
      </c>
      <c r="Z258" s="5">
        <v>42.8352</v>
      </c>
    </row>
    <row r="259" spans="1:26" hidden="1">
      <c r="A259">
        <v>1297</v>
      </c>
      <c r="B259" s="4">
        <v>41921</v>
      </c>
      <c r="C259">
        <v>9</v>
      </c>
      <c r="D259" t="s">
        <v>135</v>
      </c>
      <c r="E259" t="s">
        <v>136</v>
      </c>
      <c r="F259" t="s">
        <v>137</v>
      </c>
      <c r="G259" t="s">
        <v>138</v>
      </c>
      <c r="H259">
        <v>99999</v>
      </c>
      <c r="I259" t="s">
        <v>40</v>
      </c>
      <c r="J259" t="s">
        <v>139</v>
      </c>
      <c r="K259" t="s">
        <v>42</v>
      </c>
      <c r="L259" s="4">
        <v>41923</v>
      </c>
      <c r="M259" t="s">
        <v>56</v>
      </c>
      <c r="N259" t="s">
        <v>140</v>
      </c>
      <c r="O259" t="s">
        <v>136</v>
      </c>
      <c r="P259" t="s">
        <v>137</v>
      </c>
      <c r="Q259" t="s">
        <v>138</v>
      </c>
      <c r="R259">
        <v>99999</v>
      </c>
      <c r="S259" t="s">
        <v>40</v>
      </c>
      <c r="T259" t="s">
        <v>45</v>
      </c>
      <c r="U259" t="s">
        <v>141</v>
      </c>
      <c r="V259" t="s">
        <v>142</v>
      </c>
      <c r="W259" s="5">
        <v>19.5</v>
      </c>
      <c r="X259">
        <v>64</v>
      </c>
      <c r="Y259" s="6">
        <v>1248</v>
      </c>
      <c r="Z259" s="5">
        <v>119.80800000000001</v>
      </c>
    </row>
    <row r="260" spans="1:26" hidden="1">
      <c r="A260">
        <v>1298</v>
      </c>
      <c r="B260" s="4">
        <v>41921</v>
      </c>
      <c r="C260">
        <v>9</v>
      </c>
      <c r="D260" t="s">
        <v>135</v>
      </c>
      <c r="E260" t="s">
        <v>136</v>
      </c>
      <c r="F260" t="s">
        <v>137</v>
      </c>
      <c r="G260" t="s">
        <v>138</v>
      </c>
      <c r="H260">
        <v>99999</v>
      </c>
      <c r="I260" t="s">
        <v>40</v>
      </c>
      <c r="J260" t="s">
        <v>139</v>
      </c>
      <c r="K260" t="s">
        <v>42</v>
      </c>
      <c r="L260" s="4">
        <v>41923</v>
      </c>
      <c r="M260" t="s">
        <v>56</v>
      </c>
      <c r="N260" t="s">
        <v>140</v>
      </c>
      <c r="O260" t="s">
        <v>136</v>
      </c>
      <c r="P260" t="s">
        <v>137</v>
      </c>
      <c r="Q260" t="s">
        <v>138</v>
      </c>
      <c r="R260">
        <v>99999</v>
      </c>
      <c r="S260" t="s">
        <v>40</v>
      </c>
      <c r="T260" t="s">
        <v>45</v>
      </c>
      <c r="U260" t="s">
        <v>143</v>
      </c>
      <c r="V260" t="s">
        <v>144</v>
      </c>
      <c r="W260" s="5">
        <v>34.799999999999997</v>
      </c>
      <c r="X260">
        <v>70</v>
      </c>
      <c r="Y260" s="6">
        <v>2436</v>
      </c>
      <c r="Z260" s="5">
        <v>246.036</v>
      </c>
    </row>
    <row r="261" spans="1:26" hidden="1">
      <c r="A261">
        <v>1299</v>
      </c>
      <c r="B261" s="4">
        <v>41918</v>
      </c>
      <c r="C261">
        <v>6</v>
      </c>
      <c r="D261" t="s">
        <v>92</v>
      </c>
      <c r="E261" t="s">
        <v>93</v>
      </c>
      <c r="F261" t="s">
        <v>94</v>
      </c>
      <c r="G261" t="s">
        <v>95</v>
      </c>
      <c r="H261">
        <v>99999</v>
      </c>
      <c r="I261" t="s">
        <v>40</v>
      </c>
      <c r="J261" t="s">
        <v>96</v>
      </c>
      <c r="K261" t="s">
        <v>71</v>
      </c>
      <c r="L261" s="4">
        <v>41920</v>
      </c>
      <c r="M261" t="s">
        <v>43</v>
      </c>
      <c r="N261" t="s">
        <v>97</v>
      </c>
      <c r="O261" t="s">
        <v>93</v>
      </c>
      <c r="P261" t="s">
        <v>94</v>
      </c>
      <c r="Q261" t="s">
        <v>95</v>
      </c>
      <c r="R261">
        <v>99999</v>
      </c>
      <c r="S261" t="s">
        <v>40</v>
      </c>
      <c r="T261" t="s">
        <v>58</v>
      </c>
      <c r="U261" t="s">
        <v>46</v>
      </c>
      <c r="V261" t="s">
        <v>47</v>
      </c>
      <c r="W261" s="5">
        <v>14</v>
      </c>
      <c r="X261">
        <v>98</v>
      </c>
      <c r="Y261" s="6">
        <v>1372</v>
      </c>
      <c r="Z261" s="5">
        <v>138.572</v>
      </c>
    </row>
    <row r="262" spans="1:26" hidden="1">
      <c r="A262">
        <v>1300</v>
      </c>
      <c r="B262" s="4">
        <v>41920</v>
      </c>
      <c r="C262">
        <v>8</v>
      </c>
      <c r="D262" t="s">
        <v>66</v>
      </c>
      <c r="E262" t="s">
        <v>67</v>
      </c>
      <c r="F262" t="s">
        <v>68</v>
      </c>
      <c r="G262" t="s">
        <v>69</v>
      </c>
      <c r="H262">
        <v>99999</v>
      </c>
      <c r="I262" t="s">
        <v>40</v>
      </c>
      <c r="J262" t="s">
        <v>70</v>
      </c>
      <c r="K262" t="s">
        <v>71</v>
      </c>
      <c r="L262" s="4">
        <v>41922</v>
      </c>
      <c r="M262" t="s">
        <v>43</v>
      </c>
      <c r="N262" t="s">
        <v>73</v>
      </c>
      <c r="O262" t="s">
        <v>67</v>
      </c>
      <c r="P262" t="s">
        <v>68</v>
      </c>
      <c r="Q262" t="s">
        <v>69</v>
      </c>
      <c r="R262">
        <v>99999</v>
      </c>
      <c r="S262" t="s">
        <v>40</v>
      </c>
      <c r="T262" t="s">
        <v>45</v>
      </c>
      <c r="U262" t="s">
        <v>98</v>
      </c>
      <c r="V262" t="s">
        <v>99</v>
      </c>
      <c r="W262" s="5">
        <v>40</v>
      </c>
      <c r="X262">
        <v>48</v>
      </c>
      <c r="Y262" s="6">
        <v>1920</v>
      </c>
      <c r="Z262" s="5">
        <v>188.16</v>
      </c>
    </row>
    <row r="263" spans="1:26">
      <c r="A263">
        <v>1301</v>
      </c>
      <c r="B263" s="4">
        <v>41920</v>
      </c>
      <c r="C263">
        <v>8</v>
      </c>
      <c r="D263" t="s">
        <v>66</v>
      </c>
      <c r="E263" t="s">
        <v>67</v>
      </c>
      <c r="F263" t="s">
        <v>68</v>
      </c>
      <c r="G263" t="s">
        <v>69</v>
      </c>
      <c r="H263">
        <v>99999</v>
      </c>
      <c r="I263" t="s">
        <v>40</v>
      </c>
      <c r="J263" t="s">
        <v>70</v>
      </c>
      <c r="K263" t="s">
        <v>71</v>
      </c>
      <c r="L263" s="4">
        <v>41922</v>
      </c>
      <c r="M263" t="s">
        <v>43</v>
      </c>
      <c r="N263" t="s">
        <v>73</v>
      </c>
      <c r="O263" t="s">
        <v>67</v>
      </c>
      <c r="P263" t="s">
        <v>68</v>
      </c>
      <c r="Q263" t="s">
        <v>69</v>
      </c>
      <c r="R263">
        <v>99999</v>
      </c>
      <c r="S263" t="s">
        <v>40</v>
      </c>
      <c r="T263" t="s">
        <v>45</v>
      </c>
      <c r="U263" t="s">
        <v>74</v>
      </c>
      <c r="V263" t="s">
        <v>75</v>
      </c>
      <c r="W263" s="5">
        <v>9.1999999999999993</v>
      </c>
      <c r="X263">
        <v>100</v>
      </c>
      <c r="Y263" s="6">
        <v>920</v>
      </c>
      <c r="Z263" s="5">
        <v>91.08</v>
      </c>
    </row>
    <row r="264" spans="1:26">
      <c r="A264">
        <v>1302</v>
      </c>
      <c r="B264" s="4">
        <v>41937</v>
      </c>
      <c r="C264">
        <v>25</v>
      </c>
      <c r="D264" t="s">
        <v>148</v>
      </c>
      <c r="E264" t="s">
        <v>149</v>
      </c>
      <c r="F264" t="s">
        <v>109</v>
      </c>
      <c r="G264" t="s">
        <v>110</v>
      </c>
      <c r="H264">
        <v>99999</v>
      </c>
      <c r="I264" t="s">
        <v>40</v>
      </c>
      <c r="J264" t="s">
        <v>111</v>
      </c>
      <c r="K264" t="s">
        <v>55</v>
      </c>
      <c r="L264" s="4">
        <v>41939</v>
      </c>
      <c r="M264" t="s">
        <v>56</v>
      </c>
      <c r="N264" t="s">
        <v>150</v>
      </c>
      <c r="O264" t="s">
        <v>149</v>
      </c>
      <c r="P264" t="s">
        <v>109</v>
      </c>
      <c r="Q264" t="s">
        <v>110</v>
      </c>
      <c r="R264">
        <v>99999</v>
      </c>
      <c r="S264" t="s">
        <v>40</v>
      </c>
      <c r="T264" t="s">
        <v>89</v>
      </c>
      <c r="U264" t="s">
        <v>157</v>
      </c>
      <c r="V264" t="s">
        <v>75</v>
      </c>
      <c r="W264" s="5">
        <v>10</v>
      </c>
      <c r="X264">
        <v>90</v>
      </c>
      <c r="Y264" s="6">
        <v>900</v>
      </c>
      <c r="Z264" s="5">
        <v>87.3</v>
      </c>
    </row>
    <row r="265" spans="1:26" hidden="1">
      <c r="A265">
        <v>1303</v>
      </c>
      <c r="B265" s="4">
        <v>41938</v>
      </c>
      <c r="C265">
        <v>26</v>
      </c>
      <c r="D265" t="s">
        <v>151</v>
      </c>
      <c r="E265" t="s">
        <v>152</v>
      </c>
      <c r="F265" t="s">
        <v>125</v>
      </c>
      <c r="G265" t="s">
        <v>126</v>
      </c>
      <c r="H265">
        <v>99999</v>
      </c>
      <c r="I265" t="s">
        <v>40</v>
      </c>
      <c r="J265" t="s">
        <v>104</v>
      </c>
      <c r="K265" t="s">
        <v>105</v>
      </c>
      <c r="L265" s="4">
        <v>41940</v>
      </c>
      <c r="M265" t="s">
        <v>72</v>
      </c>
      <c r="N265" t="s">
        <v>153</v>
      </c>
      <c r="O265" t="s">
        <v>152</v>
      </c>
      <c r="P265" t="s">
        <v>125</v>
      </c>
      <c r="Q265" t="s">
        <v>126</v>
      </c>
      <c r="R265">
        <v>99999</v>
      </c>
      <c r="S265" t="s">
        <v>40</v>
      </c>
      <c r="T265" t="s">
        <v>58</v>
      </c>
      <c r="U265" t="s">
        <v>158</v>
      </c>
      <c r="V265" t="s">
        <v>159</v>
      </c>
      <c r="W265" s="5">
        <v>21.35</v>
      </c>
      <c r="X265">
        <v>49</v>
      </c>
      <c r="Y265" s="6">
        <v>1046.1500000000001</v>
      </c>
      <c r="Z265" s="5">
        <v>102.5227</v>
      </c>
    </row>
    <row r="266" spans="1:26" hidden="1">
      <c r="A266">
        <v>1304</v>
      </c>
      <c r="B266" s="4">
        <v>41938</v>
      </c>
      <c r="C266">
        <v>26</v>
      </c>
      <c r="D266" t="s">
        <v>151</v>
      </c>
      <c r="E266" t="s">
        <v>152</v>
      </c>
      <c r="F266" t="s">
        <v>125</v>
      </c>
      <c r="G266" t="s">
        <v>126</v>
      </c>
      <c r="H266">
        <v>99999</v>
      </c>
      <c r="I266" t="s">
        <v>40</v>
      </c>
      <c r="J266" t="s">
        <v>104</v>
      </c>
      <c r="K266" t="s">
        <v>105</v>
      </c>
      <c r="L266" s="4">
        <v>41940</v>
      </c>
      <c r="M266" t="s">
        <v>72</v>
      </c>
      <c r="N266" t="s">
        <v>153</v>
      </c>
      <c r="O266" t="s">
        <v>152</v>
      </c>
      <c r="P266" t="s">
        <v>125</v>
      </c>
      <c r="Q266" t="s">
        <v>126</v>
      </c>
      <c r="R266">
        <v>99999</v>
      </c>
      <c r="S266" t="s">
        <v>40</v>
      </c>
      <c r="T266" t="s">
        <v>58</v>
      </c>
      <c r="U266" t="s">
        <v>90</v>
      </c>
      <c r="V266" t="s">
        <v>91</v>
      </c>
      <c r="W266" s="5">
        <v>9.65</v>
      </c>
      <c r="X266">
        <v>71</v>
      </c>
      <c r="Y266" s="6">
        <v>685.15</v>
      </c>
      <c r="Z266" s="5">
        <v>65.7744</v>
      </c>
    </row>
    <row r="267" spans="1:26" hidden="1">
      <c r="A267">
        <v>1305</v>
      </c>
      <c r="B267" s="4">
        <v>41938</v>
      </c>
      <c r="C267">
        <v>26</v>
      </c>
      <c r="D267" t="s">
        <v>151</v>
      </c>
      <c r="E267" t="s">
        <v>152</v>
      </c>
      <c r="F267" t="s">
        <v>125</v>
      </c>
      <c r="G267" t="s">
        <v>126</v>
      </c>
      <c r="H267">
        <v>99999</v>
      </c>
      <c r="I267" t="s">
        <v>40</v>
      </c>
      <c r="J267" t="s">
        <v>104</v>
      </c>
      <c r="K267" t="s">
        <v>105</v>
      </c>
      <c r="L267" s="4">
        <v>41940</v>
      </c>
      <c r="M267" t="s">
        <v>72</v>
      </c>
      <c r="N267" t="s">
        <v>153</v>
      </c>
      <c r="O267" t="s">
        <v>152</v>
      </c>
      <c r="P267" t="s">
        <v>125</v>
      </c>
      <c r="Q267" t="s">
        <v>126</v>
      </c>
      <c r="R267">
        <v>99999</v>
      </c>
      <c r="S267" t="s">
        <v>40</v>
      </c>
      <c r="T267" t="s">
        <v>58</v>
      </c>
      <c r="U267" t="s">
        <v>133</v>
      </c>
      <c r="V267" t="s">
        <v>134</v>
      </c>
      <c r="W267" s="5">
        <v>18.399999999999999</v>
      </c>
      <c r="X267">
        <v>10</v>
      </c>
      <c r="Y267" s="6">
        <v>184</v>
      </c>
      <c r="Z267" s="5">
        <v>19.135999999999999</v>
      </c>
    </row>
    <row r="268" spans="1:26" hidden="1">
      <c r="A268">
        <v>1306</v>
      </c>
      <c r="B268" s="4">
        <v>41941</v>
      </c>
      <c r="C268">
        <v>29</v>
      </c>
      <c r="D268" t="s">
        <v>76</v>
      </c>
      <c r="E268" t="s">
        <v>77</v>
      </c>
      <c r="F268" t="s">
        <v>78</v>
      </c>
      <c r="G268" t="s">
        <v>79</v>
      </c>
      <c r="H268">
        <v>99999</v>
      </c>
      <c r="I268" t="s">
        <v>40</v>
      </c>
      <c r="J268" t="s">
        <v>80</v>
      </c>
      <c r="K268" t="s">
        <v>42</v>
      </c>
      <c r="L268" s="4">
        <v>41943</v>
      </c>
      <c r="M268" t="s">
        <v>43</v>
      </c>
      <c r="N268" t="s">
        <v>81</v>
      </c>
      <c r="O268" t="s">
        <v>77</v>
      </c>
      <c r="P268" t="s">
        <v>78</v>
      </c>
      <c r="Q268" t="s">
        <v>79</v>
      </c>
      <c r="R268">
        <v>99999</v>
      </c>
      <c r="S268" t="s">
        <v>40</v>
      </c>
      <c r="T268" t="s">
        <v>45</v>
      </c>
      <c r="U268" t="s">
        <v>46</v>
      </c>
      <c r="V268" t="s">
        <v>47</v>
      </c>
      <c r="W268" s="5">
        <v>14</v>
      </c>
      <c r="X268">
        <v>78</v>
      </c>
      <c r="Y268" s="6">
        <v>1092</v>
      </c>
      <c r="Z268" s="5">
        <v>112.476</v>
      </c>
    </row>
    <row r="269" spans="1:26" hidden="1">
      <c r="A269">
        <v>1307</v>
      </c>
      <c r="B269" s="4">
        <v>41918</v>
      </c>
      <c r="C269">
        <v>6</v>
      </c>
      <c r="D269" t="s">
        <v>92</v>
      </c>
      <c r="E269" t="s">
        <v>93</v>
      </c>
      <c r="F269" t="s">
        <v>94</v>
      </c>
      <c r="G269" t="s">
        <v>95</v>
      </c>
      <c r="H269">
        <v>99999</v>
      </c>
      <c r="I269" t="s">
        <v>40</v>
      </c>
      <c r="J269" t="s">
        <v>96</v>
      </c>
      <c r="K269" t="s">
        <v>71</v>
      </c>
      <c r="L269" s="4">
        <v>41920</v>
      </c>
      <c r="M269" t="s">
        <v>72</v>
      </c>
      <c r="N269" t="s">
        <v>97</v>
      </c>
      <c r="O269" t="s">
        <v>93</v>
      </c>
      <c r="P269" t="s">
        <v>94</v>
      </c>
      <c r="Q269" t="s">
        <v>95</v>
      </c>
      <c r="R269">
        <v>99999</v>
      </c>
      <c r="S269" t="s">
        <v>40</v>
      </c>
      <c r="T269" t="s">
        <v>45</v>
      </c>
      <c r="U269" t="s">
        <v>82</v>
      </c>
      <c r="V269" t="s">
        <v>83</v>
      </c>
      <c r="W269" s="5">
        <v>12.75</v>
      </c>
      <c r="X269">
        <v>44</v>
      </c>
      <c r="Y269" s="6">
        <v>561</v>
      </c>
      <c r="Z269" s="5">
        <v>53.856000000000002</v>
      </c>
    </row>
    <row r="270" spans="1:26" hidden="1">
      <c r="A270">
        <v>1309</v>
      </c>
      <c r="B270" s="4">
        <v>41916</v>
      </c>
      <c r="C270">
        <v>4</v>
      </c>
      <c r="D270" t="s">
        <v>50</v>
      </c>
      <c r="E270" t="s">
        <v>51</v>
      </c>
      <c r="F270" t="s">
        <v>52</v>
      </c>
      <c r="G270" t="s">
        <v>53</v>
      </c>
      <c r="H270">
        <v>99999</v>
      </c>
      <c r="I270" t="s">
        <v>40</v>
      </c>
      <c r="J270" t="s">
        <v>54</v>
      </c>
      <c r="K270" t="s">
        <v>55</v>
      </c>
      <c r="L270" s="4">
        <v>41918</v>
      </c>
      <c r="M270" t="s">
        <v>56</v>
      </c>
      <c r="N270" t="s">
        <v>57</v>
      </c>
      <c r="O270" t="s">
        <v>51</v>
      </c>
      <c r="P270" t="s">
        <v>52</v>
      </c>
      <c r="Q270" t="s">
        <v>53</v>
      </c>
      <c r="R270">
        <v>99999</v>
      </c>
      <c r="S270" t="s">
        <v>40</v>
      </c>
      <c r="T270" t="s">
        <v>58</v>
      </c>
      <c r="U270" t="s">
        <v>160</v>
      </c>
      <c r="V270" t="s">
        <v>120</v>
      </c>
      <c r="W270">
        <v>81</v>
      </c>
      <c r="X270">
        <v>82</v>
      </c>
      <c r="Y270" s="6">
        <v>6642</v>
      </c>
      <c r="Z270" s="5">
        <v>697.41</v>
      </c>
    </row>
    <row r="271" spans="1:26" hidden="1">
      <c r="A271">
        <v>1310</v>
      </c>
      <c r="B271" s="4">
        <v>41916</v>
      </c>
      <c r="C271">
        <v>4</v>
      </c>
      <c r="D271" t="s">
        <v>50</v>
      </c>
      <c r="E271" t="s">
        <v>51</v>
      </c>
      <c r="F271" t="s">
        <v>52</v>
      </c>
      <c r="G271" t="s">
        <v>53</v>
      </c>
      <c r="H271">
        <v>99999</v>
      </c>
      <c r="I271" t="s">
        <v>40</v>
      </c>
      <c r="J271" t="s">
        <v>54</v>
      </c>
      <c r="K271" t="s">
        <v>55</v>
      </c>
      <c r="L271" s="4">
        <v>41918</v>
      </c>
      <c r="M271" t="s">
        <v>56</v>
      </c>
      <c r="N271" t="s">
        <v>57</v>
      </c>
      <c r="O271" t="s">
        <v>51</v>
      </c>
      <c r="P271" t="s">
        <v>52</v>
      </c>
      <c r="Q271" t="s">
        <v>53</v>
      </c>
      <c r="R271">
        <v>99999</v>
      </c>
      <c r="S271" t="s">
        <v>40</v>
      </c>
      <c r="T271" t="s">
        <v>58</v>
      </c>
      <c r="U271" t="s">
        <v>161</v>
      </c>
      <c r="V271" t="s">
        <v>162</v>
      </c>
      <c r="W271">
        <v>7</v>
      </c>
      <c r="X271">
        <v>29</v>
      </c>
      <c r="Y271" s="6">
        <v>203</v>
      </c>
      <c r="Z271" s="5">
        <v>20.3</v>
      </c>
    </row>
    <row r="272" spans="1:26" hidden="1">
      <c r="A272">
        <v>1312</v>
      </c>
      <c r="B272" s="4">
        <v>41920</v>
      </c>
      <c r="C272">
        <v>8</v>
      </c>
      <c r="D272" t="s">
        <v>66</v>
      </c>
      <c r="E272" t="s">
        <v>67</v>
      </c>
      <c r="F272" t="s">
        <v>68</v>
      </c>
      <c r="G272" t="s">
        <v>69</v>
      </c>
      <c r="H272">
        <v>99999</v>
      </c>
      <c r="I272" t="s">
        <v>40</v>
      </c>
      <c r="J272" t="s">
        <v>70</v>
      </c>
      <c r="K272" t="s">
        <v>71</v>
      </c>
      <c r="L272" s="4">
        <v>41922</v>
      </c>
      <c r="M272" t="s">
        <v>72</v>
      </c>
      <c r="N272" t="s">
        <v>73</v>
      </c>
      <c r="O272" t="s">
        <v>67</v>
      </c>
      <c r="P272" t="s">
        <v>68</v>
      </c>
      <c r="Q272" t="s">
        <v>69</v>
      </c>
      <c r="R272">
        <v>99999</v>
      </c>
      <c r="S272" t="s">
        <v>40</v>
      </c>
      <c r="T272" t="s">
        <v>58</v>
      </c>
      <c r="U272" t="s">
        <v>143</v>
      </c>
      <c r="V272" t="s">
        <v>144</v>
      </c>
      <c r="W272">
        <v>34.799999999999997</v>
      </c>
      <c r="X272">
        <v>93</v>
      </c>
      <c r="Y272" s="6">
        <v>3236.4</v>
      </c>
      <c r="Z272" s="5">
        <v>313.93079999999998</v>
      </c>
    </row>
    <row r="273" spans="1:26" hidden="1">
      <c r="A273">
        <v>1315</v>
      </c>
      <c r="B273" s="4">
        <v>41915</v>
      </c>
      <c r="C273">
        <v>3</v>
      </c>
      <c r="D273" t="s">
        <v>84</v>
      </c>
      <c r="E273" t="s">
        <v>85</v>
      </c>
      <c r="F273" t="s">
        <v>86</v>
      </c>
      <c r="G273" t="s">
        <v>87</v>
      </c>
      <c r="H273">
        <v>99999</v>
      </c>
      <c r="I273" t="s">
        <v>40</v>
      </c>
      <c r="J273" t="s">
        <v>41</v>
      </c>
      <c r="K273" t="s">
        <v>42</v>
      </c>
      <c r="L273" s="4">
        <v>41917</v>
      </c>
      <c r="M273" t="s">
        <v>43</v>
      </c>
      <c r="N273" t="s">
        <v>88</v>
      </c>
      <c r="O273" t="s">
        <v>85</v>
      </c>
      <c r="P273" t="s">
        <v>86</v>
      </c>
      <c r="Q273" t="s">
        <v>87</v>
      </c>
      <c r="R273">
        <v>99999</v>
      </c>
      <c r="S273" t="s">
        <v>40</v>
      </c>
      <c r="T273" t="s">
        <v>89</v>
      </c>
      <c r="U273" t="s">
        <v>145</v>
      </c>
      <c r="V273" t="s">
        <v>122</v>
      </c>
      <c r="W273">
        <v>10</v>
      </c>
      <c r="X273">
        <v>11</v>
      </c>
      <c r="Y273" s="6">
        <v>110</v>
      </c>
      <c r="Z273" s="5">
        <v>11.44</v>
      </c>
    </row>
    <row r="274" spans="1:26" hidden="1">
      <c r="A274">
        <v>1316</v>
      </c>
      <c r="B274" s="4">
        <v>41915</v>
      </c>
      <c r="C274">
        <v>3</v>
      </c>
      <c r="D274" t="s">
        <v>84</v>
      </c>
      <c r="E274" t="s">
        <v>85</v>
      </c>
      <c r="F274" t="s">
        <v>86</v>
      </c>
      <c r="G274" t="s">
        <v>87</v>
      </c>
      <c r="H274">
        <v>99999</v>
      </c>
      <c r="I274" t="s">
        <v>40</v>
      </c>
      <c r="J274" t="s">
        <v>41</v>
      </c>
      <c r="K274" t="s">
        <v>42</v>
      </c>
      <c r="L274" s="4">
        <v>41917</v>
      </c>
      <c r="M274" t="s">
        <v>43</v>
      </c>
      <c r="N274" t="s">
        <v>88</v>
      </c>
      <c r="O274" t="s">
        <v>85</v>
      </c>
      <c r="P274" t="s">
        <v>86</v>
      </c>
      <c r="Q274" t="s">
        <v>87</v>
      </c>
      <c r="R274">
        <v>99999</v>
      </c>
      <c r="S274" t="s">
        <v>40</v>
      </c>
      <c r="T274" t="s">
        <v>89</v>
      </c>
      <c r="U274" t="s">
        <v>98</v>
      </c>
      <c r="V274" t="s">
        <v>99</v>
      </c>
      <c r="W274">
        <v>40</v>
      </c>
      <c r="X274">
        <v>91</v>
      </c>
      <c r="Y274" s="6">
        <v>3640</v>
      </c>
      <c r="Z274" s="5">
        <v>364</v>
      </c>
    </row>
    <row r="275" spans="1:26" hidden="1">
      <c r="A275">
        <v>1320</v>
      </c>
      <c r="B275" s="4">
        <v>41922</v>
      </c>
      <c r="C275">
        <v>10</v>
      </c>
      <c r="D275" t="s">
        <v>107</v>
      </c>
      <c r="E275" t="s">
        <v>108</v>
      </c>
      <c r="F275" t="s">
        <v>109</v>
      </c>
      <c r="G275" t="s">
        <v>110</v>
      </c>
      <c r="H275">
        <v>99999</v>
      </c>
      <c r="I275" t="s">
        <v>40</v>
      </c>
      <c r="J275" t="s">
        <v>111</v>
      </c>
      <c r="K275" t="s">
        <v>55</v>
      </c>
      <c r="L275" s="4">
        <v>41924</v>
      </c>
      <c r="M275" t="s">
        <v>43</v>
      </c>
      <c r="N275" t="s">
        <v>112</v>
      </c>
      <c r="O275" t="s">
        <v>108</v>
      </c>
      <c r="P275" t="s">
        <v>109</v>
      </c>
      <c r="Q275" t="s">
        <v>110</v>
      </c>
      <c r="R275">
        <v>99999</v>
      </c>
      <c r="S275" t="s">
        <v>40</v>
      </c>
      <c r="T275" t="s">
        <v>58</v>
      </c>
      <c r="U275" t="s">
        <v>147</v>
      </c>
      <c r="V275" t="s">
        <v>49</v>
      </c>
      <c r="W275">
        <v>10</v>
      </c>
      <c r="X275">
        <v>12</v>
      </c>
      <c r="Y275" s="6">
        <v>120</v>
      </c>
      <c r="Z275" s="5">
        <v>12.36</v>
      </c>
    </row>
    <row r="276" spans="1:26" hidden="1">
      <c r="A276">
        <v>1322</v>
      </c>
      <c r="B276" s="4">
        <v>41922</v>
      </c>
      <c r="C276">
        <v>10</v>
      </c>
      <c r="D276" t="s">
        <v>107</v>
      </c>
      <c r="E276" t="s">
        <v>108</v>
      </c>
      <c r="F276" t="s">
        <v>109</v>
      </c>
      <c r="G276" t="s">
        <v>110</v>
      </c>
      <c r="H276">
        <v>99999</v>
      </c>
      <c r="I276" t="s">
        <v>40</v>
      </c>
      <c r="J276" t="s">
        <v>111</v>
      </c>
      <c r="K276" t="s">
        <v>55</v>
      </c>
      <c r="L276" s="4"/>
      <c r="M276" t="s">
        <v>56</v>
      </c>
      <c r="N276" t="s">
        <v>112</v>
      </c>
      <c r="O276" t="s">
        <v>108</v>
      </c>
      <c r="P276" t="s">
        <v>109</v>
      </c>
      <c r="Q276" t="s">
        <v>110</v>
      </c>
      <c r="R276">
        <v>99999</v>
      </c>
      <c r="S276" t="s">
        <v>40</v>
      </c>
      <c r="U276" t="s">
        <v>48</v>
      </c>
      <c r="V276" t="s">
        <v>49</v>
      </c>
      <c r="W276">
        <v>3.5</v>
      </c>
      <c r="X276">
        <v>78</v>
      </c>
      <c r="Y276" s="6">
        <v>273</v>
      </c>
      <c r="Z276" s="5">
        <v>27.3</v>
      </c>
    </row>
    <row r="277" spans="1:26" hidden="1">
      <c r="A277">
        <v>1323</v>
      </c>
      <c r="B277" s="4">
        <v>41923</v>
      </c>
      <c r="C277">
        <v>11</v>
      </c>
      <c r="D277" t="s">
        <v>123</v>
      </c>
      <c r="E277" t="s">
        <v>124</v>
      </c>
      <c r="F277" t="s">
        <v>125</v>
      </c>
      <c r="G277" t="s">
        <v>126</v>
      </c>
      <c r="H277">
        <v>99999</v>
      </c>
      <c r="I277" t="s">
        <v>40</v>
      </c>
      <c r="J277" t="s">
        <v>104</v>
      </c>
      <c r="K277" t="s">
        <v>105</v>
      </c>
      <c r="L277" s="4"/>
      <c r="M277" t="s">
        <v>72</v>
      </c>
      <c r="N277" t="s">
        <v>127</v>
      </c>
      <c r="O277" t="s">
        <v>124</v>
      </c>
      <c r="P277" t="s">
        <v>125</v>
      </c>
      <c r="Q277" t="s">
        <v>126</v>
      </c>
      <c r="R277">
        <v>99999</v>
      </c>
      <c r="S277" t="s">
        <v>40</v>
      </c>
      <c r="U277" t="s">
        <v>98</v>
      </c>
      <c r="V277" t="s">
        <v>99</v>
      </c>
      <c r="W277">
        <v>40</v>
      </c>
      <c r="X277">
        <v>60</v>
      </c>
      <c r="Y277" s="6">
        <v>2400</v>
      </c>
      <c r="Z277" s="5">
        <v>228</v>
      </c>
    </row>
    <row r="278" spans="1:26" hidden="1">
      <c r="A278">
        <v>1324</v>
      </c>
      <c r="B278" s="4">
        <v>41913</v>
      </c>
      <c r="C278">
        <v>1</v>
      </c>
      <c r="D278" t="s">
        <v>128</v>
      </c>
      <c r="E278" t="s">
        <v>129</v>
      </c>
      <c r="F278" t="s">
        <v>130</v>
      </c>
      <c r="G278" t="s">
        <v>131</v>
      </c>
      <c r="H278">
        <v>99999</v>
      </c>
      <c r="I278" t="s">
        <v>40</v>
      </c>
      <c r="J278" t="s">
        <v>70</v>
      </c>
      <c r="K278" t="s">
        <v>71</v>
      </c>
      <c r="L278" s="4"/>
      <c r="M278" t="s">
        <v>72</v>
      </c>
      <c r="N278" t="s">
        <v>132</v>
      </c>
      <c r="O278" t="s">
        <v>129</v>
      </c>
      <c r="P278" t="s">
        <v>130</v>
      </c>
      <c r="Q278" t="s">
        <v>131</v>
      </c>
      <c r="R278">
        <v>99999</v>
      </c>
      <c r="S278" t="s">
        <v>40</v>
      </c>
      <c r="U278" t="s">
        <v>133</v>
      </c>
      <c r="V278" t="s">
        <v>134</v>
      </c>
      <c r="W278">
        <v>18.399999999999999</v>
      </c>
      <c r="X278">
        <v>23</v>
      </c>
      <c r="Y278" s="6">
        <v>423.2</v>
      </c>
      <c r="Z278" s="5">
        <v>43.589599999999997</v>
      </c>
    </row>
    <row r="279" spans="1:26" hidden="1">
      <c r="A279">
        <v>1325</v>
      </c>
      <c r="B279" s="4">
        <v>41940</v>
      </c>
      <c r="C279">
        <v>28</v>
      </c>
      <c r="D279" t="s">
        <v>100</v>
      </c>
      <c r="E279" t="s">
        <v>101</v>
      </c>
      <c r="F279" t="s">
        <v>102</v>
      </c>
      <c r="G279" t="s">
        <v>103</v>
      </c>
      <c r="H279">
        <v>99999</v>
      </c>
      <c r="I279" t="s">
        <v>40</v>
      </c>
      <c r="J279" t="s">
        <v>104</v>
      </c>
      <c r="K279" t="s">
        <v>105</v>
      </c>
      <c r="L279" s="4">
        <v>41942</v>
      </c>
      <c r="M279" t="s">
        <v>72</v>
      </c>
      <c r="N279" t="s">
        <v>106</v>
      </c>
      <c r="O279" t="s">
        <v>101</v>
      </c>
      <c r="P279" t="s">
        <v>102</v>
      </c>
      <c r="Q279" t="s">
        <v>103</v>
      </c>
      <c r="R279">
        <v>99999</v>
      </c>
      <c r="S279" t="s">
        <v>40</v>
      </c>
      <c r="T279" t="s">
        <v>58</v>
      </c>
      <c r="U279" t="s">
        <v>65</v>
      </c>
      <c r="V279" t="s">
        <v>47</v>
      </c>
      <c r="W279">
        <v>46</v>
      </c>
      <c r="X279">
        <v>34</v>
      </c>
      <c r="Y279" s="6">
        <v>1564</v>
      </c>
      <c r="Z279" s="5">
        <v>157.964</v>
      </c>
    </row>
    <row r="280" spans="1:26" hidden="1">
      <c r="A280">
        <v>1326</v>
      </c>
      <c r="B280" s="4">
        <v>41921</v>
      </c>
      <c r="C280">
        <v>9</v>
      </c>
      <c r="D280" t="s">
        <v>135</v>
      </c>
      <c r="E280" t="s">
        <v>136</v>
      </c>
      <c r="F280" t="s">
        <v>137</v>
      </c>
      <c r="G280" t="s">
        <v>138</v>
      </c>
      <c r="H280">
        <v>99999</v>
      </c>
      <c r="I280" t="s">
        <v>40</v>
      </c>
      <c r="J280" t="s">
        <v>139</v>
      </c>
      <c r="K280" t="s">
        <v>42</v>
      </c>
      <c r="L280" s="4">
        <v>41923</v>
      </c>
      <c r="M280" t="s">
        <v>56</v>
      </c>
      <c r="N280" t="s">
        <v>140</v>
      </c>
      <c r="O280" t="s">
        <v>136</v>
      </c>
      <c r="P280" t="s">
        <v>137</v>
      </c>
      <c r="Q280" t="s">
        <v>138</v>
      </c>
      <c r="R280">
        <v>99999</v>
      </c>
      <c r="S280" t="s">
        <v>40</v>
      </c>
      <c r="T280" t="s">
        <v>45</v>
      </c>
      <c r="U280" t="s">
        <v>90</v>
      </c>
      <c r="V280" t="s">
        <v>91</v>
      </c>
      <c r="W280">
        <v>9.65</v>
      </c>
      <c r="X280">
        <v>89</v>
      </c>
      <c r="Y280" s="6">
        <v>858.85</v>
      </c>
      <c r="Z280" s="5">
        <v>86.743849999999995</v>
      </c>
    </row>
    <row r="281" spans="1:26" hidden="1">
      <c r="A281">
        <v>1327</v>
      </c>
      <c r="B281" s="4">
        <v>41918</v>
      </c>
      <c r="C281">
        <v>6</v>
      </c>
      <c r="D281" t="s">
        <v>92</v>
      </c>
      <c r="E281" t="s">
        <v>93</v>
      </c>
      <c r="F281" t="s">
        <v>94</v>
      </c>
      <c r="G281" t="s">
        <v>95</v>
      </c>
      <c r="H281">
        <v>99999</v>
      </c>
      <c r="I281" t="s">
        <v>40</v>
      </c>
      <c r="J281" t="s">
        <v>96</v>
      </c>
      <c r="K281" t="s">
        <v>71</v>
      </c>
      <c r="L281" s="4">
        <v>41920</v>
      </c>
      <c r="M281" t="s">
        <v>43</v>
      </c>
      <c r="N281" t="s">
        <v>97</v>
      </c>
      <c r="O281" t="s">
        <v>93</v>
      </c>
      <c r="P281" t="s">
        <v>94</v>
      </c>
      <c r="Q281" t="s">
        <v>95</v>
      </c>
      <c r="R281">
        <v>99999</v>
      </c>
      <c r="S281" t="s">
        <v>40</v>
      </c>
      <c r="T281" t="s">
        <v>58</v>
      </c>
      <c r="U281" t="s">
        <v>82</v>
      </c>
      <c r="V281" t="s">
        <v>83</v>
      </c>
      <c r="W281">
        <v>12.75</v>
      </c>
      <c r="X281">
        <v>82</v>
      </c>
      <c r="Y281" s="6">
        <v>1045.5</v>
      </c>
      <c r="Z281" s="5">
        <v>103.50449999999999</v>
      </c>
    </row>
    <row r="282" spans="1:26" hidden="1">
      <c r="A282">
        <v>1328</v>
      </c>
      <c r="B282" s="4">
        <v>41920</v>
      </c>
      <c r="C282">
        <v>8</v>
      </c>
      <c r="D282" t="s">
        <v>66</v>
      </c>
      <c r="E282" t="s">
        <v>67</v>
      </c>
      <c r="F282" t="s">
        <v>68</v>
      </c>
      <c r="G282" t="s">
        <v>69</v>
      </c>
      <c r="H282">
        <v>99999</v>
      </c>
      <c r="I282" t="s">
        <v>40</v>
      </c>
      <c r="J282" t="s">
        <v>70</v>
      </c>
      <c r="K282" t="s">
        <v>71</v>
      </c>
      <c r="L282" s="4">
        <v>41922</v>
      </c>
      <c r="M282" t="s">
        <v>43</v>
      </c>
      <c r="N282" t="s">
        <v>73</v>
      </c>
      <c r="O282" t="s">
        <v>67</v>
      </c>
      <c r="P282" t="s">
        <v>68</v>
      </c>
      <c r="Q282" t="s">
        <v>69</v>
      </c>
      <c r="R282">
        <v>99999</v>
      </c>
      <c r="S282" t="s">
        <v>40</v>
      </c>
      <c r="T282" t="s">
        <v>45</v>
      </c>
      <c r="U282" t="s">
        <v>82</v>
      </c>
      <c r="V282" t="s">
        <v>83</v>
      </c>
      <c r="W282">
        <v>12.75</v>
      </c>
      <c r="X282">
        <v>43</v>
      </c>
      <c r="Y282" s="6">
        <v>548.25</v>
      </c>
      <c r="Z282" s="5">
        <v>52.631999999999998</v>
      </c>
    </row>
    <row r="283" spans="1:26" hidden="1">
      <c r="A283">
        <v>1329</v>
      </c>
      <c r="B283" s="4">
        <v>41953</v>
      </c>
      <c r="C283">
        <v>10</v>
      </c>
      <c r="D283" t="s">
        <v>107</v>
      </c>
      <c r="E283" t="s">
        <v>108</v>
      </c>
      <c r="F283" t="s">
        <v>109</v>
      </c>
      <c r="G283" t="s">
        <v>110</v>
      </c>
      <c r="H283">
        <v>99999</v>
      </c>
      <c r="I283" t="s">
        <v>40</v>
      </c>
      <c r="J283" t="s">
        <v>111</v>
      </c>
      <c r="K283" t="s">
        <v>55</v>
      </c>
      <c r="L283" s="4">
        <v>41955</v>
      </c>
      <c r="M283" t="s">
        <v>56</v>
      </c>
      <c r="N283" t="s">
        <v>112</v>
      </c>
      <c r="O283" t="s">
        <v>108</v>
      </c>
      <c r="P283" t="s">
        <v>109</v>
      </c>
      <c r="Q283" t="s">
        <v>110</v>
      </c>
      <c r="R283">
        <v>99999</v>
      </c>
      <c r="S283" t="s">
        <v>40</v>
      </c>
      <c r="U283" t="s">
        <v>121</v>
      </c>
      <c r="V283" t="s">
        <v>122</v>
      </c>
      <c r="W283" s="5">
        <v>22</v>
      </c>
      <c r="X283">
        <v>96</v>
      </c>
      <c r="Y283" s="6">
        <v>2112</v>
      </c>
      <c r="Z283" s="5">
        <v>221.76</v>
      </c>
    </row>
    <row r="284" spans="1:26">
      <c r="A284">
        <v>1330</v>
      </c>
      <c r="B284" s="4">
        <v>41953</v>
      </c>
      <c r="C284">
        <v>10</v>
      </c>
      <c r="D284" t="s">
        <v>107</v>
      </c>
      <c r="E284" t="s">
        <v>108</v>
      </c>
      <c r="F284" t="s">
        <v>109</v>
      </c>
      <c r="G284" t="s">
        <v>110</v>
      </c>
      <c r="H284">
        <v>99999</v>
      </c>
      <c r="I284" t="s">
        <v>40</v>
      </c>
      <c r="J284" t="s">
        <v>111</v>
      </c>
      <c r="K284" t="s">
        <v>55</v>
      </c>
      <c r="L284" s="4">
        <v>41955</v>
      </c>
      <c r="M284" t="s">
        <v>56</v>
      </c>
      <c r="N284" t="s">
        <v>112</v>
      </c>
      <c r="O284" t="s">
        <v>108</v>
      </c>
      <c r="P284" t="s">
        <v>109</v>
      </c>
      <c r="Q284" t="s">
        <v>110</v>
      </c>
      <c r="R284">
        <v>99999</v>
      </c>
      <c r="S284" t="s">
        <v>40</v>
      </c>
      <c r="U284" t="s">
        <v>74</v>
      </c>
      <c r="V284" t="s">
        <v>75</v>
      </c>
      <c r="W284" s="5">
        <v>9.1999999999999993</v>
      </c>
      <c r="X284">
        <v>34</v>
      </c>
      <c r="Y284" s="6">
        <v>312.8</v>
      </c>
      <c r="Z284" s="5">
        <v>31.28</v>
      </c>
    </row>
    <row r="285" spans="1:26" hidden="1">
      <c r="A285">
        <v>1331</v>
      </c>
      <c r="B285" s="4">
        <v>41954</v>
      </c>
      <c r="C285">
        <v>11</v>
      </c>
      <c r="D285" t="s">
        <v>123</v>
      </c>
      <c r="E285" t="s">
        <v>124</v>
      </c>
      <c r="F285" t="s">
        <v>125</v>
      </c>
      <c r="G285" t="s">
        <v>126</v>
      </c>
      <c r="H285">
        <v>99999</v>
      </c>
      <c r="I285" t="s">
        <v>40</v>
      </c>
      <c r="J285" t="s">
        <v>104</v>
      </c>
      <c r="K285" t="s">
        <v>105</v>
      </c>
      <c r="L285" s="4"/>
      <c r="M285" t="s">
        <v>72</v>
      </c>
      <c r="N285" t="s">
        <v>127</v>
      </c>
      <c r="O285" t="s">
        <v>124</v>
      </c>
      <c r="P285" t="s">
        <v>125</v>
      </c>
      <c r="Q285" t="s">
        <v>126</v>
      </c>
      <c r="R285">
        <v>99999</v>
      </c>
      <c r="S285" t="s">
        <v>40</v>
      </c>
      <c r="U285" t="s">
        <v>48</v>
      </c>
      <c r="V285" t="s">
        <v>49</v>
      </c>
      <c r="W285" s="5">
        <v>3.5</v>
      </c>
      <c r="X285">
        <v>42</v>
      </c>
      <c r="Y285" s="6">
        <v>147</v>
      </c>
      <c r="Z285" s="5">
        <v>15.141</v>
      </c>
    </row>
    <row r="286" spans="1:26" hidden="1">
      <c r="A286">
        <v>1332</v>
      </c>
      <c r="B286" s="4">
        <v>41954</v>
      </c>
      <c r="C286">
        <v>11</v>
      </c>
      <c r="D286" t="s">
        <v>123</v>
      </c>
      <c r="E286" t="s">
        <v>124</v>
      </c>
      <c r="F286" t="s">
        <v>125</v>
      </c>
      <c r="G286" t="s">
        <v>126</v>
      </c>
      <c r="H286">
        <v>99999</v>
      </c>
      <c r="I286" t="s">
        <v>40</v>
      </c>
      <c r="J286" t="s">
        <v>104</v>
      </c>
      <c r="K286" t="s">
        <v>105</v>
      </c>
      <c r="L286" s="4"/>
      <c r="M286" t="s">
        <v>72</v>
      </c>
      <c r="N286" t="s">
        <v>127</v>
      </c>
      <c r="O286" t="s">
        <v>124</v>
      </c>
      <c r="P286" t="s">
        <v>125</v>
      </c>
      <c r="Q286" t="s">
        <v>126</v>
      </c>
      <c r="R286">
        <v>99999</v>
      </c>
      <c r="S286" t="s">
        <v>40</v>
      </c>
      <c r="U286" t="s">
        <v>113</v>
      </c>
      <c r="V286" t="s">
        <v>47</v>
      </c>
      <c r="W286" s="5">
        <v>2.99</v>
      </c>
      <c r="X286">
        <v>100</v>
      </c>
      <c r="Y286" s="6">
        <v>299</v>
      </c>
      <c r="Z286" s="5">
        <v>30.498000000000001</v>
      </c>
    </row>
    <row r="287" spans="1:26" hidden="1">
      <c r="A287">
        <v>1333</v>
      </c>
      <c r="B287" s="4">
        <v>41944</v>
      </c>
      <c r="C287">
        <v>1</v>
      </c>
      <c r="D287" t="s">
        <v>128</v>
      </c>
      <c r="E287" t="s">
        <v>129</v>
      </c>
      <c r="F287" t="s">
        <v>130</v>
      </c>
      <c r="G287" t="s">
        <v>131</v>
      </c>
      <c r="H287">
        <v>99999</v>
      </c>
      <c r="I287" t="s">
        <v>40</v>
      </c>
      <c r="J287" t="s">
        <v>70</v>
      </c>
      <c r="K287" t="s">
        <v>71</v>
      </c>
      <c r="N287" t="s">
        <v>132</v>
      </c>
      <c r="O287" t="s">
        <v>129</v>
      </c>
      <c r="P287" t="s">
        <v>130</v>
      </c>
      <c r="Q287" t="s">
        <v>131</v>
      </c>
      <c r="R287">
        <v>99999</v>
      </c>
      <c r="S287" t="s">
        <v>40</v>
      </c>
      <c r="U287" t="s">
        <v>64</v>
      </c>
      <c r="V287" t="s">
        <v>47</v>
      </c>
      <c r="W287" s="5">
        <v>18</v>
      </c>
      <c r="X287">
        <v>42</v>
      </c>
      <c r="Y287" s="6">
        <v>756</v>
      </c>
      <c r="Z287" s="5">
        <v>76.355999999999995</v>
      </c>
    </row>
    <row r="288" spans="1:26" hidden="1">
      <c r="A288">
        <v>1334</v>
      </c>
      <c r="B288" s="4">
        <v>41944</v>
      </c>
      <c r="C288">
        <v>1</v>
      </c>
      <c r="D288" t="s">
        <v>128</v>
      </c>
      <c r="E288" t="s">
        <v>129</v>
      </c>
      <c r="F288" t="s">
        <v>130</v>
      </c>
      <c r="G288" t="s">
        <v>131</v>
      </c>
      <c r="H288">
        <v>99999</v>
      </c>
      <c r="I288" t="s">
        <v>40</v>
      </c>
      <c r="J288" t="s">
        <v>70</v>
      </c>
      <c r="K288" t="s">
        <v>71</v>
      </c>
      <c r="L288" s="4"/>
      <c r="N288" t="s">
        <v>132</v>
      </c>
      <c r="O288" t="s">
        <v>129</v>
      </c>
      <c r="P288" t="s">
        <v>130</v>
      </c>
      <c r="Q288" t="s">
        <v>131</v>
      </c>
      <c r="R288">
        <v>99999</v>
      </c>
      <c r="S288" t="s">
        <v>40</v>
      </c>
      <c r="U288" t="s">
        <v>65</v>
      </c>
      <c r="V288" t="s">
        <v>47</v>
      </c>
      <c r="W288" s="5">
        <v>46</v>
      </c>
      <c r="X288">
        <v>16</v>
      </c>
      <c r="Y288" s="6">
        <v>736</v>
      </c>
      <c r="Z288" s="5">
        <v>70.656000000000006</v>
      </c>
    </row>
    <row r="289" spans="1:26" hidden="1">
      <c r="A289">
        <v>1335</v>
      </c>
      <c r="B289" s="4">
        <v>41944</v>
      </c>
      <c r="C289">
        <v>1</v>
      </c>
      <c r="D289" t="s">
        <v>128</v>
      </c>
      <c r="E289" t="s">
        <v>129</v>
      </c>
      <c r="F289" t="s">
        <v>130</v>
      </c>
      <c r="G289" t="s">
        <v>131</v>
      </c>
      <c r="H289">
        <v>99999</v>
      </c>
      <c r="I289" t="s">
        <v>40</v>
      </c>
      <c r="J289" t="s">
        <v>70</v>
      </c>
      <c r="K289" t="s">
        <v>71</v>
      </c>
      <c r="L289" s="4"/>
      <c r="N289" t="s">
        <v>132</v>
      </c>
      <c r="O289" t="s">
        <v>129</v>
      </c>
      <c r="P289" t="s">
        <v>130</v>
      </c>
      <c r="Q289" t="s">
        <v>131</v>
      </c>
      <c r="R289">
        <v>99999</v>
      </c>
      <c r="S289" t="s">
        <v>40</v>
      </c>
      <c r="U289" t="s">
        <v>113</v>
      </c>
      <c r="V289" t="s">
        <v>47</v>
      </c>
      <c r="W289" s="5">
        <v>2.99</v>
      </c>
      <c r="X289">
        <v>22</v>
      </c>
      <c r="Y289" s="6">
        <v>65.78</v>
      </c>
      <c r="Z289" s="5">
        <v>6.3806599999999998</v>
      </c>
    </row>
    <row r="290" spans="1:26" hidden="1">
      <c r="A290">
        <v>1336</v>
      </c>
      <c r="B290" s="4">
        <v>41971</v>
      </c>
      <c r="C290">
        <v>28</v>
      </c>
      <c r="D290" t="s">
        <v>100</v>
      </c>
      <c r="E290" t="s">
        <v>101</v>
      </c>
      <c r="F290" t="s">
        <v>102</v>
      </c>
      <c r="G290" t="s">
        <v>103</v>
      </c>
      <c r="H290">
        <v>99999</v>
      </c>
      <c r="I290" t="s">
        <v>40</v>
      </c>
      <c r="J290" t="s">
        <v>104</v>
      </c>
      <c r="K290" t="s">
        <v>105</v>
      </c>
      <c r="L290" s="4">
        <v>41973</v>
      </c>
      <c r="M290" t="s">
        <v>72</v>
      </c>
      <c r="N290" t="s">
        <v>106</v>
      </c>
      <c r="O290" t="s">
        <v>101</v>
      </c>
      <c r="P290" t="s">
        <v>102</v>
      </c>
      <c r="Q290" t="s">
        <v>103</v>
      </c>
      <c r="R290">
        <v>99999</v>
      </c>
      <c r="S290" t="s">
        <v>40</v>
      </c>
      <c r="T290" t="s">
        <v>58</v>
      </c>
      <c r="U290" t="s">
        <v>90</v>
      </c>
      <c r="V290" t="s">
        <v>91</v>
      </c>
      <c r="W290" s="5">
        <v>9.65</v>
      </c>
      <c r="X290">
        <v>46</v>
      </c>
      <c r="Y290" s="6">
        <v>443.9</v>
      </c>
      <c r="Z290" s="5">
        <v>45.721699999999998</v>
      </c>
    </row>
    <row r="291" spans="1:26" hidden="1">
      <c r="A291">
        <v>1337</v>
      </c>
      <c r="B291" s="4">
        <v>41971</v>
      </c>
      <c r="C291">
        <v>28</v>
      </c>
      <c r="D291" t="s">
        <v>100</v>
      </c>
      <c r="E291" t="s">
        <v>101</v>
      </c>
      <c r="F291" t="s">
        <v>102</v>
      </c>
      <c r="G291" t="s">
        <v>103</v>
      </c>
      <c r="H291">
        <v>99999</v>
      </c>
      <c r="I291" t="s">
        <v>40</v>
      </c>
      <c r="J291" t="s">
        <v>104</v>
      </c>
      <c r="K291" t="s">
        <v>105</v>
      </c>
      <c r="L291">
        <v>41973</v>
      </c>
      <c r="M291" t="s">
        <v>72</v>
      </c>
      <c r="N291" t="s">
        <v>106</v>
      </c>
      <c r="O291" t="s">
        <v>101</v>
      </c>
      <c r="P291" t="s">
        <v>102</v>
      </c>
      <c r="Q291" t="s">
        <v>103</v>
      </c>
      <c r="R291">
        <v>99999</v>
      </c>
      <c r="S291" t="s">
        <v>40</v>
      </c>
      <c r="T291" t="s">
        <v>58</v>
      </c>
      <c r="U291" t="s">
        <v>133</v>
      </c>
      <c r="V291" t="s">
        <v>134</v>
      </c>
      <c r="W291" s="5">
        <v>18.399999999999999</v>
      </c>
      <c r="X291">
        <v>100</v>
      </c>
      <c r="Y291" s="6">
        <v>1840</v>
      </c>
      <c r="Z291" s="5">
        <v>184</v>
      </c>
    </row>
    <row r="292" spans="1:26" hidden="1">
      <c r="A292">
        <v>1338</v>
      </c>
      <c r="B292" s="4">
        <v>41952</v>
      </c>
      <c r="C292">
        <v>9</v>
      </c>
      <c r="D292" t="s">
        <v>135</v>
      </c>
      <c r="E292" t="s">
        <v>136</v>
      </c>
      <c r="F292" t="s">
        <v>137</v>
      </c>
      <c r="G292" t="s">
        <v>138</v>
      </c>
      <c r="H292">
        <v>99999</v>
      </c>
      <c r="I292" t="s">
        <v>40</v>
      </c>
      <c r="J292" t="s">
        <v>139</v>
      </c>
      <c r="K292" t="s">
        <v>42</v>
      </c>
      <c r="L292">
        <v>41954</v>
      </c>
      <c r="M292" t="s">
        <v>56</v>
      </c>
      <c r="N292" t="s">
        <v>140</v>
      </c>
      <c r="O292" t="s">
        <v>136</v>
      </c>
      <c r="P292" t="s">
        <v>137</v>
      </c>
      <c r="Q292" t="s">
        <v>138</v>
      </c>
      <c r="R292">
        <v>99999</v>
      </c>
      <c r="S292" t="s">
        <v>40</v>
      </c>
      <c r="T292" t="s">
        <v>45</v>
      </c>
      <c r="U292" t="s">
        <v>141</v>
      </c>
      <c r="V292" t="s">
        <v>142</v>
      </c>
      <c r="W292" s="5">
        <v>19.5</v>
      </c>
      <c r="X292">
        <v>87</v>
      </c>
      <c r="Y292" s="6">
        <v>1696.5</v>
      </c>
      <c r="Z292" s="5">
        <v>174.73949999999999</v>
      </c>
    </row>
    <row r="293" spans="1:26" hidden="1">
      <c r="A293">
        <v>1339</v>
      </c>
      <c r="B293" s="4">
        <v>41952</v>
      </c>
      <c r="C293">
        <v>9</v>
      </c>
      <c r="D293" t="s">
        <v>135</v>
      </c>
      <c r="E293" t="s">
        <v>136</v>
      </c>
      <c r="F293" t="s">
        <v>137</v>
      </c>
      <c r="G293" t="s">
        <v>138</v>
      </c>
      <c r="H293">
        <v>99999</v>
      </c>
      <c r="I293" t="s">
        <v>40</v>
      </c>
      <c r="J293" t="s">
        <v>139</v>
      </c>
      <c r="K293" t="s">
        <v>42</v>
      </c>
      <c r="L293">
        <v>41954</v>
      </c>
      <c r="M293" t="s">
        <v>56</v>
      </c>
      <c r="N293" t="s">
        <v>140</v>
      </c>
      <c r="O293" t="s">
        <v>136</v>
      </c>
      <c r="P293" t="s">
        <v>137</v>
      </c>
      <c r="Q293" t="s">
        <v>138</v>
      </c>
      <c r="R293">
        <v>99999</v>
      </c>
      <c r="S293" t="s">
        <v>40</v>
      </c>
      <c r="T293" t="s">
        <v>45</v>
      </c>
      <c r="U293" t="s">
        <v>143</v>
      </c>
      <c r="V293" t="s">
        <v>144</v>
      </c>
      <c r="W293" s="5">
        <v>34.799999999999997</v>
      </c>
      <c r="X293">
        <v>58</v>
      </c>
      <c r="Y293" s="6">
        <v>2018.4</v>
      </c>
      <c r="Z293" s="5">
        <v>205.8768</v>
      </c>
    </row>
    <row r="294" spans="1:26" hidden="1">
      <c r="A294">
        <v>1340</v>
      </c>
      <c r="B294" s="4">
        <v>41949</v>
      </c>
      <c r="C294">
        <v>6</v>
      </c>
      <c r="D294" t="s">
        <v>92</v>
      </c>
      <c r="E294" t="s">
        <v>93</v>
      </c>
      <c r="F294" t="s">
        <v>94</v>
      </c>
      <c r="G294" t="s">
        <v>95</v>
      </c>
      <c r="H294">
        <v>99999</v>
      </c>
      <c r="I294" t="s">
        <v>40</v>
      </c>
      <c r="J294" t="s">
        <v>96</v>
      </c>
      <c r="K294" t="s">
        <v>71</v>
      </c>
      <c r="L294">
        <v>41951</v>
      </c>
      <c r="M294" t="s">
        <v>43</v>
      </c>
      <c r="N294" t="s">
        <v>97</v>
      </c>
      <c r="O294" t="s">
        <v>93</v>
      </c>
      <c r="P294" t="s">
        <v>94</v>
      </c>
      <c r="Q294" t="s">
        <v>95</v>
      </c>
      <c r="R294">
        <v>99999</v>
      </c>
      <c r="S294" t="s">
        <v>40</v>
      </c>
      <c r="T294" t="s">
        <v>58</v>
      </c>
      <c r="U294" t="s">
        <v>46</v>
      </c>
      <c r="V294" t="s">
        <v>47</v>
      </c>
      <c r="W294" s="5">
        <v>14</v>
      </c>
      <c r="X294">
        <v>85</v>
      </c>
      <c r="Y294" s="6">
        <v>1190</v>
      </c>
      <c r="Z294" s="5">
        <v>120.19</v>
      </c>
    </row>
    <row r="295" spans="1:26" hidden="1">
      <c r="A295">
        <v>1341</v>
      </c>
      <c r="B295" s="4">
        <v>41951</v>
      </c>
      <c r="C295">
        <v>8</v>
      </c>
      <c r="D295" t="s">
        <v>66</v>
      </c>
      <c r="E295" t="s">
        <v>67</v>
      </c>
      <c r="F295" t="s">
        <v>68</v>
      </c>
      <c r="G295" t="s">
        <v>69</v>
      </c>
      <c r="H295">
        <v>99999</v>
      </c>
      <c r="I295" t="s">
        <v>40</v>
      </c>
      <c r="J295" t="s">
        <v>70</v>
      </c>
      <c r="K295" t="s">
        <v>71</v>
      </c>
      <c r="L295">
        <v>41953</v>
      </c>
      <c r="M295" t="s">
        <v>43</v>
      </c>
      <c r="N295" t="s">
        <v>73</v>
      </c>
      <c r="O295" t="s">
        <v>67</v>
      </c>
      <c r="P295" t="s">
        <v>68</v>
      </c>
      <c r="Q295" t="s">
        <v>69</v>
      </c>
      <c r="R295">
        <v>99999</v>
      </c>
      <c r="S295" t="s">
        <v>40</v>
      </c>
      <c r="T295" t="s">
        <v>45</v>
      </c>
      <c r="U295" t="s">
        <v>98</v>
      </c>
      <c r="V295" t="s">
        <v>99</v>
      </c>
      <c r="W295" s="5">
        <v>40</v>
      </c>
      <c r="X295">
        <v>28</v>
      </c>
      <c r="Y295" s="6">
        <v>1120</v>
      </c>
      <c r="Z295" s="5">
        <v>110.88</v>
      </c>
    </row>
    <row r="296" spans="1:26">
      <c r="A296">
        <v>1342</v>
      </c>
      <c r="B296" s="4">
        <v>41951</v>
      </c>
      <c r="C296">
        <v>8</v>
      </c>
      <c r="D296" t="s">
        <v>66</v>
      </c>
      <c r="E296" t="s">
        <v>67</v>
      </c>
      <c r="F296" t="s">
        <v>68</v>
      </c>
      <c r="G296" t="s">
        <v>69</v>
      </c>
      <c r="H296">
        <v>99999</v>
      </c>
      <c r="I296" t="s">
        <v>40</v>
      </c>
      <c r="J296" t="s">
        <v>70</v>
      </c>
      <c r="K296" t="s">
        <v>71</v>
      </c>
      <c r="L296" s="4">
        <v>41953</v>
      </c>
      <c r="M296" t="s">
        <v>43</v>
      </c>
      <c r="N296" t="s">
        <v>73</v>
      </c>
      <c r="O296" t="s">
        <v>67</v>
      </c>
      <c r="P296" t="s">
        <v>68</v>
      </c>
      <c r="Q296" t="s">
        <v>69</v>
      </c>
      <c r="R296">
        <v>99999</v>
      </c>
      <c r="S296" t="s">
        <v>40</v>
      </c>
      <c r="T296" t="s">
        <v>45</v>
      </c>
      <c r="U296" t="s">
        <v>74</v>
      </c>
      <c r="V296" t="s">
        <v>75</v>
      </c>
      <c r="W296" s="5">
        <v>9.1999999999999993</v>
      </c>
      <c r="X296">
        <v>19</v>
      </c>
      <c r="Y296" s="6">
        <v>174.8</v>
      </c>
      <c r="Z296" s="5">
        <v>17.130400000000002</v>
      </c>
    </row>
    <row r="297" spans="1:26">
      <c r="A297">
        <v>1343</v>
      </c>
      <c r="B297" s="4">
        <v>41968</v>
      </c>
      <c r="C297">
        <v>25</v>
      </c>
      <c r="D297" t="s">
        <v>148</v>
      </c>
      <c r="E297" t="s">
        <v>149</v>
      </c>
      <c r="F297" t="s">
        <v>109</v>
      </c>
      <c r="G297" t="s">
        <v>110</v>
      </c>
      <c r="H297">
        <v>99999</v>
      </c>
      <c r="I297" t="s">
        <v>40</v>
      </c>
      <c r="J297" t="s">
        <v>111</v>
      </c>
      <c r="K297" t="s">
        <v>55</v>
      </c>
      <c r="L297" s="4">
        <v>41970</v>
      </c>
      <c r="M297" t="s">
        <v>56</v>
      </c>
      <c r="N297" t="s">
        <v>150</v>
      </c>
      <c r="O297" t="s">
        <v>149</v>
      </c>
      <c r="P297" t="s">
        <v>109</v>
      </c>
      <c r="Q297" t="s">
        <v>110</v>
      </c>
      <c r="R297">
        <v>99999</v>
      </c>
      <c r="S297" t="s">
        <v>40</v>
      </c>
      <c r="T297" t="s">
        <v>89</v>
      </c>
      <c r="U297" t="s">
        <v>157</v>
      </c>
      <c r="V297" t="s">
        <v>75</v>
      </c>
      <c r="W297" s="5">
        <v>10</v>
      </c>
      <c r="X297">
        <v>99</v>
      </c>
      <c r="Y297" s="6">
        <v>990</v>
      </c>
      <c r="Z297" s="5">
        <v>102.96</v>
      </c>
    </row>
    <row r="298" spans="1:26" hidden="1">
      <c r="A298">
        <v>1344</v>
      </c>
      <c r="B298" s="4">
        <v>41969</v>
      </c>
      <c r="C298">
        <v>26</v>
      </c>
      <c r="D298" t="s">
        <v>151</v>
      </c>
      <c r="E298" t="s">
        <v>152</v>
      </c>
      <c r="F298" t="s">
        <v>125</v>
      </c>
      <c r="G298" t="s">
        <v>126</v>
      </c>
      <c r="H298">
        <v>99999</v>
      </c>
      <c r="I298" t="s">
        <v>40</v>
      </c>
      <c r="J298" t="s">
        <v>104</v>
      </c>
      <c r="K298" t="s">
        <v>105</v>
      </c>
      <c r="L298" s="4">
        <v>41971</v>
      </c>
      <c r="M298" t="s">
        <v>72</v>
      </c>
      <c r="N298" t="s">
        <v>153</v>
      </c>
      <c r="O298" t="s">
        <v>152</v>
      </c>
      <c r="P298" t="s">
        <v>125</v>
      </c>
      <c r="Q298" t="s">
        <v>126</v>
      </c>
      <c r="R298">
        <v>99999</v>
      </c>
      <c r="S298" t="s">
        <v>40</v>
      </c>
      <c r="T298" t="s">
        <v>58</v>
      </c>
      <c r="U298" t="s">
        <v>158</v>
      </c>
      <c r="V298" t="s">
        <v>159</v>
      </c>
      <c r="W298" s="5">
        <v>21.35</v>
      </c>
      <c r="X298">
        <v>69</v>
      </c>
      <c r="Y298" s="6">
        <v>1473.15</v>
      </c>
      <c r="Z298" s="5">
        <v>153.20760000000001</v>
      </c>
    </row>
    <row r="299" spans="1:26" hidden="1">
      <c r="A299">
        <v>1345</v>
      </c>
      <c r="B299" s="4">
        <v>41969</v>
      </c>
      <c r="C299">
        <v>26</v>
      </c>
      <c r="D299" t="s">
        <v>151</v>
      </c>
      <c r="E299" t="s">
        <v>152</v>
      </c>
      <c r="F299" t="s">
        <v>125</v>
      </c>
      <c r="G299" t="s">
        <v>126</v>
      </c>
      <c r="H299">
        <v>99999</v>
      </c>
      <c r="I299" t="s">
        <v>40</v>
      </c>
      <c r="J299" t="s">
        <v>104</v>
      </c>
      <c r="K299" t="s">
        <v>105</v>
      </c>
      <c r="L299" s="4">
        <v>41971</v>
      </c>
      <c r="M299" t="s">
        <v>72</v>
      </c>
      <c r="N299" t="s">
        <v>153</v>
      </c>
      <c r="O299" t="s">
        <v>152</v>
      </c>
      <c r="P299" t="s">
        <v>125</v>
      </c>
      <c r="Q299" t="s">
        <v>126</v>
      </c>
      <c r="R299">
        <v>99999</v>
      </c>
      <c r="S299" t="s">
        <v>40</v>
      </c>
      <c r="T299" t="s">
        <v>58</v>
      </c>
      <c r="U299" t="s">
        <v>90</v>
      </c>
      <c r="V299" t="s">
        <v>91</v>
      </c>
      <c r="W299" s="5">
        <v>9.65</v>
      </c>
      <c r="X299">
        <v>37</v>
      </c>
      <c r="Y299" s="6">
        <v>357.05</v>
      </c>
      <c r="Z299" s="5">
        <v>33.919750000000001</v>
      </c>
    </row>
    <row r="300" spans="1:26" hidden="1">
      <c r="A300">
        <v>1346</v>
      </c>
      <c r="B300" s="4">
        <v>41969</v>
      </c>
      <c r="C300">
        <v>26</v>
      </c>
      <c r="D300" t="s">
        <v>151</v>
      </c>
      <c r="E300" t="s">
        <v>152</v>
      </c>
      <c r="F300" t="s">
        <v>125</v>
      </c>
      <c r="G300" t="s">
        <v>126</v>
      </c>
      <c r="H300">
        <v>99999</v>
      </c>
      <c r="I300" t="s">
        <v>40</v>
      </c>
      <c r="J300" t="s">
        <v>104</v>
      </c>
      <c r="K300" t="s">
        <v>105</v>
      </c>
      <c r="L300" s="4">
        <v>41971</v>
      </c>
      <c r="M300" t="s">
        <v>72</v>
      </c>
      <c r="N300" t="s">
        <v>153</v>
      </c>
      <c r="O300" t="s">
        <v>152</v>
      </c>
      <c r="P300" t="s">
        <v>125</v>
      </c>
      <c r="Q300" t="s">
        <v>126</v>
      </c>
      <c r="R300">
        <v>99999</v>
      </c>
      <c r="S300" t="s">
        <v>40</v>
      </c>
      <c r="T300" t="s">
        <v>58</v>
      </c>
      <c r="U300" t="s">
        <v>133</v>
      </c>
      <c r="V300" t="s">
        <v>134</v>
      </c>
      <c r="W300" s="5">
        <v>18.399999999999999</v>
      </c>
      <c r="X300">
        <v>64</v>
      </c>
      <c r="Y300" s="6">
        <v>1177.5999999999999</v>
      </c>
      <c r="Z300" s="5">
        <v>118.9376</v>
      </c>
    </row>
    <row r="301" spans="1:26" hidden="1">
      <c r="A301">
        <v>1347</v>
      </c>
      <c r="B301" s="4">
        <v>41972</v>
      </c>
      <c r="C301">
        <v>29</v>
      </c>
      <c r="D301" t="s">
        <v>76</v>
      </c>
      <c r="E301" t="s">
        <v>77</v>
      </c>
      <c r="F301" t="s">
        <v>78</v>
      </c>
      <c r="G301" t="s">
        <v>79</v>
      </c>
      <c r="H301">
        <v>99999</v>
      </c>
      <c r="I301" t="s">
        <v>40</v>
      </c>
      <c r="J301" t="s">
        <v>80</v>
      </c>
      <c r="K301" t="s">
        <v>42</v>
      </c>
      <c r="L301" s="4">
        <v>41974</v>
      </c>
      <c r="M301" t="s">
        <v>43</v>
      </c>
      <c r="N301" t="s">
        <v>81</v>
      </c>
      <c r="O301" t="s">
        <v>77</v>
      </c>
      <c r="P301" t="s">
        <v>78</v>
      </c>
      <c r="Q301" t="s">
        <v>79</v>
      </c>
      <c r="R301">
        <v>99999</v>
      </c>
      <c r="S301" t="s">
        <v>40</v>
      </c>
      <c r="T301" t="s">
        <v>45</v>
      </c>
      <c r="U301" t="s">
        <v>46</v>
      </c>
      <c r="V301" t="s">
        <v>47</v>
      </c>
      <c r="W301" s="5">
        <v>14</v>
      </c>
      <c r="X301">
        <v>38</v>
      </c>
      <c r="Y301" s="6">
        <v>532</v>
      </c>
      <c r="Z301" s="5">
        <v>55.328000000000003</v>
      </c>
    </row>
    <row r="302" spans="1:26" hidden="1">
      <c r="A302">
        <v>1348</v>
      </c>
      <c r="B302" s="4">
        <v>41949</v>
      </c>
      <c r="C302">
        <v>6</v>
      </c>
      <c r="D302" t="s">
        <v>92</v>
      </c>
      <c r="E302" t="s">
        <v>93</v>
      </c>
      <c r="F302" t="s">
        <v>94</v>
      </c>
      <c r="G302" t="s">
        <v>95</v>
      </c>
      <c r="H302">
        <v>99999</v>
      </c>
      <c r="I302" t="s">
        <v>40</v>
      </c>
      <c r="J302" t="s">
        <v>96</v>
      </c>
      <c r="K302" t="s">
        <v>71</v>
      </c>
      <c r="L302" s="4">
        <v>41951</v>
      </c>
      <c r="M302" t="s">
        <v>72</v>
      </c>
      <c r="N302" t="s">
        <v>97</v>
      </c>
      <c r="O302" t="s">
        <v>93</v>
      </c>
      <c r="P302" t="s">
        <v>94</v>
      </c>
      <c r="Q302" t="s">
        <v>95</v>
      </c>
      <c r="R302">
        <v>99999</v>
      </c>
      <c r="S302" t="s">
        <v>40</v>
      </c>
      <c r="T302" t="s">
        <v>45</v>
      </c>
      <c r="U302" t="s">
        <v>82</v>
      </c>
      <c r="V302" t="s">
        <v>83</v>
      </c>
      <c r="W302" s="5">
        <v>12.75</v>
      </c>
      <c r="X302">
        <v>15</v>
      </c>
      <c r="Y302" s="6">
        <v>191.25</v>
      </c>
      <c r="Z302" s="5">
        <v>18.55125</v>
      </c>
    </row>
    <row r="303" spans="1:26" hidden="1">
      <c r="A303">
        <v>1350</v>
      </c>
      <c r="B303" s="4">
        <v>41947</v>
      </c>
      <c r="C303">
        <v>4</v>
      </c>
      <c r="D303" t="s">
        <v>50</v>
      </c>
      <c r="E303" t="s">
        <v>51</v>
      </c>
      <c r="F303" t="s">
        <v>52</v>
      </c>
      <c r="G303" t="s">
        <v>53</v>
      </c>
      <c r="H303">
        <v>99999</v>
      </c>
      <c r="I303" t="s">
        <v>40</v>
      </c>
      <c r="J303" t="s">
        <v>54</v>
      </c>
      <c r="K303" t="s">
        <v>55</v>
      </c>
      <c r="L303" s="4">
        <v>41949</v>
      </c>
      <c r="M303" t="s">
        <v>56</v>
      </c>
      <c r="N303" t="s">
        <v>57</v>
      </c>
      <c r="O303" t="s">
        <v>51</v>
      </c>
      <c r="P303" t="s">
        <v>52</v>
      </c>
      <c r="Q303" t="s">
        <v>53</v>
      </c>
      <c r="R303">
        <v>99999</v>
      </c>
      <c r="S303" t="s">
        <v>40</v>
      </c>
      <c r="T303" t="s">
        <v>58</v>
      </c>
      <c r="U303" t="s">
        <v>160</v>
      </c>
      <c r="V303" t="s">
        <v>120</v>
      </c>
      <c r="W303" s="5">
        <v>81</v>
      </c>
      <c r="X303">
        <v>52</v>
      </c>
      <c r="Y303" s="6">
        <v>4212</v>
      </c>
      <c r="Z303" s="5">
        <v>412.77600000000001</v>
      </c>
    </row>
    <row r="304" spans="1:26" hidden="1">
      <c r="A304">
        <v>1351</v>
      </c>
      <c r="B304" s="4">
        <v>41947</v>
      </c>
      <c r="C304">
        <v>4</v>
      </c>
      <c r="D304" t="s">
        <v>50</v>
      </c>
      <c r="E304" t="s">
        <v>51</v>
      </c>
      <c r="F304" t="s">
        <v>52</v>
      </c>
      <c r="G304" t="s">
        <v>53</v>
      </c>
      <c r="H304">
        <v>99999</v>
      </c>
      <c r="I304" t="s">
        <v>40</v>
      </c>
      <c r="J304" t="s">
        <v>54</v>
      </c>
      <c r="K304" t="s">
        <v>55</v>
      </c>
      <c r="L304" s="4">
        <v>41949</v>
      </c>
      <c r="M304" t="s">
        <v>56</v>
      </c>
      <c r="N304" t="s">
        <v>57</v>
      </c>
      <c r="O304" t="s">
        <v>51</v>
      </c>
      <c r="P304" t="s">
        <v>52</v>
      </c>
      <c r="Q304" t="s">
        <v>53</v>
      </c>
      <c r="R304">
        <v>99999</v>
      </c>
      <c r="S304" t="s">
        <v>40</v>
      </c>
      <c r="T304" t="s">
        <v>58</v>
      </c>
      <c r="U304" t="s">
        <v>161</v>
      </c>
      <c r="V304" t="s">
        <v>162</v>
      </c>
      <c r="W304" s="5">
        <v>7</v>
      </c>
      <c r="X304">
        <v>37</v>
      </c>
      <c r="Y304" s="6">
        <v>259</v>
      </c>
      <c r="Z304" s="5">
        <v>25.382000000000001</v>
      </c>
    </row>
    <row r="305" spans="1:26" hidden="1">
      <c r="A305">
        <v>1353</v>
      </c>
      <c r="B305" s="4">
        <v>41951</v>
      </c>
      <c r="C305">
        <v>8</v>
      </c>
      <c r="D305" t="s">
        <v>66</v>
      </c>
      <c r="E305" t="s">
        <v>67</v>
      </c>
      <c r="F305" t="s">
        <v>68</v>
      </c>
      <c r="G305" t="s">
        <v>69</v>
      </c>
      <c r="H305">
        <v>99999</v>
      </c>
      <c r="I305" t="s">
        <v>40</v>
      </c>
      <c r="J305" t="s">
        <v>70</v>
      </c>
      <c r="K305" t="s">
        <v>71</v>
      </c>
      <c r="L305" s="4">
        <v>41953</v>
      </c>
      <c r="M305" t="s">
        <v>72</v>
      </c>
      <c r="N305" t="s">
        <v>73</v>
      </c>
      <c r="O305" t="s">
        <v>67</v>
      </c>
      <c r="P305" t="s">
        <v>68</v>
      </c>
      <c r="Q305" t="s">
        <v>69</v>
      </c>
      <c r="R305">
        <v>99999</v>
      </c>
      <c r="S305" t="s">
        <v>40</v>
      </c>
      <c r="T305" t="s">
        <v>58</v>
      </c>
      <c r="U305" t="s">
        <v>143</v>
      </c>
      <c r="V305" t="s">
        <v>144</v>
      </c>
      <c r="W305" s="5">
        <v>34.799999999999997</v>
      </c>
      <c r="X305">
        <v>24</v>
      </c>
      <c r="Y305" s="6">
        <v>835.2</v>
      </c>
      <c r="Z305" s="5">
        <v>80.179199999999994</v>
      </c>
    </row>
    <row r="306" spans="1:26" hidden="1">
      <c r="A306">
        <v>1356</v>
      </c>
      <c r="B306" s="4">
        <v>41946</v>
      </c>
      <c r="C306">
        <v>3</v>
      </c>
      <c r="D306" t="s">
        <v>84</v>
      </c>
      <c r="E306" t="s">
        <v>85</v>
      </c>
      <c r="F306" t="s">
        <v>86</v>
      </c>
      <c r="G306" t="s">
        <v>87</v>
      </c>
      <c r="H306">
        <v>99999</v>
      </c>
      <c r="I306" t="s">
        <v>40</v>
      </c>
      <c r="J306" t="s">
        <v>41</v>
      </c>
      <c r="K306" t="s">
        <v>42</v>
      </c>
      <c r="L306" s="4">
        <v>41948</v>
      </c>
      <c r="M306" t="s">
        <v>43</v>
      </c>
      <c r="N306" t="s">
        <v>88</v>
      </c>
      <c r="O306" t="s">
        <v>85</v>
      </c>
      <c r="P306" t="s">
        <v>86</v>
      </c>
      <c r="Q306" t="s">
        <v>87</v>
      </c>
      <c r="R306">
        <v>99999</v>
      </c>
      <c r="S306" t="s">
        <v>40</v>
      </c>
      <c r="T306" t="s">
        <v>89</v>
      </c>
      <c r="U306" t="s">
        <v>145</v>
      </c>
      <c r="V306" t="s">
        <v>122</v>
      </c>
      <c r="W306" s="5">
        <v>10</v>
      </c>
      <c r="X306">
        <v>36</v>
      </c>
      <c r="Y306" s="6">
        <v>360</v>
      </c>
      <c r="Z306" s="5">
        <v>37.08</v>
      </c>
    </row>
    <row r="307" spans="1:26" hidden="1">
      <c r="A307">
        <v>1357</v>
      </c>
      <c r="B307" s="4">
        <v>41946</v>
      </c>
      <c r="C307">
        <v>3</v>
      </c>
      <c r="D307" t="s">
        <v>84</v>
      </c>
      <c r="E307" t="s">
        <v>85</v>
      </c>
      <c r="F307" t="s">
        <v>86</v>
      </c>
      <c r="G307" t="s">
        <v>87</v>
      </c>
      <c r="H307">
        <v>99999</v>
      </c>
      <c r="I307" t="s">
        <v>40</v>
      </c>
      <c r="J307" t="s">
        <v>41</v>
      </c>
      <c r="K307" t="s">
        <v>42</v>
      </c>
      <c r="L307" s="4">
        <v>41948</v>
      </c>
      <c r="M307" t="s">
        <v>43</v>
      </c>
      <c r="N307" t="s">
        <v>88</v>
      </c>
      <c r="O307" t="s">
        <v>85</v>
      </c>
      <c r="P307" t="s">
        <v>86</v>
      </c>
      <c r="Q307" t="s">
        <v>87</v>
      </c>
      <c r="R307">
        <v>99999</v>
      </c>
      <c r="S307" t="s">
        <v>40</v>
      </c>
      <c r="T307" t="s">
        <v>89</v>
      </c>
      <c r="U307" t="s">
        <v>98</v>
      </c>
      <c r="V307" t="s">
        <v>99</v>
      </c>
      <c r="W307" s="5">
        <v>40</v>
      </c>
      <c r="X307">
        <v>24</v>
      </c>
      <c r="Y307" s="6">
        <v>960</v>
      </c>
      <c r="Z307" s="5">
        <v>96</v>
      </c>
    </row>
    <row r="308" spans="1:26" hidden="1">
      <c r="A308">
        <v>1361</v>
      </c>
      <c r="B308" s="4">
        <v>41953</v>
      </c>
      <c r="C308">
        <v>10</v>
      </c>
      <c r="D308" t="s">
        <v>107</v>
      </c>
      <c r="E308" t="s">
        <v>108</v>
      </c>
      <c r="F308" t="s">
        <v>109</v>
      </c>
      <c r="G308" t="s">
        <v>110</v>
      </c>
      <c r="H308">
        <v>99999</v>
      </c>
      <c r="I308" t="s">
        <v>40</v>
      </c>
      <c r="J308" t="s">
        <v>111</v>
      </c>
      <c r="K308" t="s">
        <v>55</v>
      </c>
      <c r="L308" s="4">
        <v>41955</v>
      </c>
      <c r="M308" t="s">
        <v>43</v>
      </c>
      <c r="N308" t="s">
        <v>112</v>
      </c>
      <c r="O308" t="s">
        <v>108</v>
      </c>
      <c r="P308" t="s">
        <v>109</v>
      </c>
      <c r="Q308" t="s">
        <v>110</v>
      </c>
      <c r="R308">
        <v>99999</v>
      </c>
      <c r="S308" t="s">
        <v>40</v>
      </c>
      <c r="T308" t="s">
        <v>58</v>
      </c>
      <c r="U308" t="s">
        <v>147</v>
      </c>
      <c r="V308" t="s">
        <v>49</v>
      </c>
      <c r="W308" s="5">
        <v>10</v>
      </c>
      <c r="X308">
        <v>20</v>
      </c>
      <c r="Y308" s="6">
        <v>200</v>
      </c>
      <c r="Z308" s="5">
        <v>20</v>
      </c>
    </row>
    <row r="309" spans="1:26" hidden="1">
      <c r="A309">
        <v>1363</v>
      </c>
      <c r="B309" s="4">
        <v>41953</v>
      </c>
      <c r="C309">
        <v>10</v>
      </c>
      <c r="D309" t="s">
        <v>107</v>
      </c>
      <c r="E309" t="s">
        <v>108</v>
      </c>
      <c r="F309" t="s">
        <v>109</v>
      </c>
      <c r="G309" t="s">
        <v>110</v>
      </c>
      <c r="H309">
        <v>99999</v>
      </c>
      <c r="I309" t="s">
        <v>40</v>
      </c>
      <c r="J309" t="s">
        <v>111</v>
      </c>
      <c r="K309" t="s">
        <v>55</v>
      </c>
      <c r="L309" s="4"/>
      <c r="M309" t="s">
        <v>56</v>
      </c>
      <c r="N309" t="s">
        <v>112</v>
      </c>
      <c r="O309" t="s">
        <v>108</v>
      </c>
      <c r="P309" t="s">
        <v>109</v>
      </c>
      <c r="Q309" t="s">
        <v>110</v>
      </c>
      <c r="R309">
        <v>99999</v>
      </c>
      <c r="S309" t="s">
        <v>40</v>
      </c>
      <c r="U309" t="s">
        <v>48</v>
      </c>
      <c r="V309" t="s">
        <v>49</v>
      </c>
      <c r="W309">
        <v>3.5</v>
      </c>
      <c r="X309">
        <v>11</v>
      </c>
      <c r="Y309" s="6">
        <v>38.5</v>
      </c>
      <c r="Z309" s="5">
        <v>3.7345000000000002</v>
      </c>
    </row>
    <row r="310" spans="1:26" hidden="1">
      <c r="A310">
        <v>1364</v>
      </c>
      <c r="B310" s="4">
        <v>41954</v>
      </c>
      <c r="C310">
        <v>11</v>
      </c>
      <c r="D310" t="s">
        <v>123</v>
      </c>
      <c r="E310" t="s">
        <v>124</v>
      </c>
      <c r="F310" t="s">
        <v>125</v>
      </c>
      <c r="G310" t="s">
        <v>126</v>
      </c>
      <c r="H310">
        <v>99999</v>
      </c>
      <c r="I310" t="s">
        <v>40</v>
      </c>
      <c r="J310" t="s">
        <v>104</v>
      </c>
      <c r="K310" t="s">
        <v>105</v>
      </c>
      <c r="L310" s="4"/>
      <c r="M310" t="s">
        <v>72</v>
      </c>
      <c r="N310" t="s">
        <v>127</v>
      </c>
      <c r="O310" t="s">
        <v>124</v>
      </c>
      <c r="P310" t="s">
        <v>125</v>
      </c>
      <c r="Q310" t="s">
        <v>126</v>
      </c>
      <c r="R310">
        <v>99999</v>
      </c>
      <c r="S310" t="s">
        <v>40</v>
      </c>
      <c r="U310" t="s">
        <v>98</v>
      </c>
      <c r="V310" t="s">
        <v>99</v>
      </c>
      <c r="W310">
        <v>40</v>
      </c>
      <c r="X310">
        <v>78</v>
      </c>
      <c r="Y310" s="6">
        <v>3120</v>
      </c>
      <c r="Z310" s="5">
        <v>299.52</v>
      </c>
    </row>
    <row r="311" spans="1:26" hidden="1">
      <c r="A311">
        <v>1365</v>
      </c>
      <c r="B311" s="4">
        <v>41944</v>
      </c>
      <c r="C311">
        <v>1</v>
      </c>
      <c r="D311" t="s">
        <v>128</v>
      </c>
      <c r="E311" t="s">
        <v>129</v>
      </c>
      <c r="F311" t="s">
        <v>130</v>
      </c>
      <c r="G311" t="s">
        <v>131</v>
      </c>
      <c r="H311">
        <v>99999</v>
      </c>
      <c r="I311" t="s">
        <v>40</v>
      </c>
      <c r="J311" t="s">
        <v>70</v>
      </c>
      <c r="K311" t="s">
        <v>71</v>
      </c>
      <c r="L311" s="4"/>
      <c r="M311" t="s">
        <v>72</v>
      </c>
      <c r="N311" t="s">
        <v>132</v>
      </c>
      <c r="O311" t="s">
        <v>129</v>
      </c>
      <c r="P311" t="s">
        <v>130</v>
      </c>
      <c r="Q311" t="s">
        <v>131</v>
      </c>
      <c r="R311">
        <v>99999</v>
      </c>
      <c r="S311" t="s">
        <v>40</v>
      </c>
      <c r="U311" t="s">
        <v>133</v>
      </c>
      <c r="V311" t="s">
        <v>134</v>
      </c>
      <c r="W311">
        <v>18.399999999999999</v>
      </c>
      <c r="X311">
        <v>76</v>
      </c>
      <c r="Y311" s="6">
        <v>1398.4</v>
      </c>
      <c r="Z311" s="5">
        <v>144.0352</v>
      </c>
    </row>
    <row r="312" spans="1:26" hidden="1">
      <c r="A312">
        <v>1366</v>
      </c>
      <c r="B312" s="4">
        <v>41971</v>
      </c>
      <c r="C312">
        <v>28</v>
      </c>
      <c r="D312" t="s">
        <v>100</v>
      </c>
      <c r="E312" t="s">
        <v>101</v>
      </c>
      <c r="F312" t="s">
        <v>102</v>
      </c>
      <c r="G312" t="s">
        <v>103</v>
      </c>
      <c r="H312">
        <v>99999</v>
      </c>
      <c r="I312" t="s">
        <v>40</v>
      </c>
      <c r="J312" t="s">
        <v>104</v>
      </c>
      <c r="K312" t="s">
        <v>105</v>
      </c>
      <c r="L312" s="4">
        <v>41973</v>
      </c>
      <c r="M312" t="s">
        <v>72</v>
      </c>
      <c r="N312" t="s">
        <v>106</v>
      </c>
      <c r="O312" t="s">
        <v>101</v>
      </c>
      <c r="P312" t="s">
        <v>102</v>
      </c>
      <c r="Q312" t="s">
        <v>103</v>
      </c>
      <c r="R312">
        <v>99999</v>
      </c>
      <c r="S312" t="s">
        <v>40</v>
      </c>
      <c r="T312" t="s">
        <v>58</v>
      </c>
      <c r="U312" t="s">
        <v>65</v>
      </c>
      <c r="V312" t="s">
        <v>47</v>
      </c>
      <c r="W312">
        <v>46</v>
      </c>
      <c r="X312">
        <v>57</v>
      </c>
      <c r="Y312" s="6">
        <v>2622</v>
      </c>
      <c r="Z312" s="5">
        <v>272.68799999999999</v>
      </c>
    </row>
    <row r="313" spans="1:26" hidden="1">
      <c r="A313">
        <v>1367</v>
      </c>
      <c r="B313" s="4">
        <v>41952</v>
      </c>
      <c r="C313">
        <v>9</v>
      </c>
      <c r="D313" t="s">
        <v>135</v>
      </c>
      <c r="E313" t="s">
        <v>136</v>
      </c>
      <c r="F313" t="s">
        <v>137</v>
      </c>
      <c r="G313" t="s">
        <v>138</v>
      </c>
      <c r="H313">
        <v>99999</v>
      </c>
      <c r="I313" t="s">
        <v>40</v>
      </c>
      <c r="J313" t="s">
        <v>139</v>
      </c>
      <c r="K313" t="s">
        <v>42</v>
      </c>
      <c r="L313" s="4">
        <v>41954</v>
      </c>
      <c r="M313" t="s">
        <v>56</v>
      </c>
      <c r="N313" t="s">
        <v>140</v>
      </c>
      <c r="O313" t="s">
        <v>136</v>
      </c>
      <c r="P313" t="s">
        <v>137</v>
      </c>
      <c r="Q313" t="s">
        <v>138</v>
      </c>
      <c r="R313">
        <v>99999</v>
      </c>
      <c r="S313" t="s">
        <v>40</v>
      </c>
      <c r="T313" t="s">
        <v>45</v>
      </c>
      <c r="U313" t="s">
        <v>90</v>
      </c>
      <c r="V313" t="s">
        <v>91</v>
      </c>
      <c r="W313">
        <v>9.65</v>
      </c>
      <c r="X313">
        <v>14</v>
      </c>
      <c r="Y313" s="6">
        <v>135.1</v>
      </c>
      <c r="Z313" s="5">
        <v>12.9696</v>
      </c>
    </row>
    <row r="314" spans="1:26" hidden="1">
      <c r="A314">
        <v>1368</v>
      </c>
      <c r="B314" s="4">
        <v>42000</v>
      </c>
      <c r="C314">
        <v>27</v>
      </c>
      <c r="D314" t="s">
        <v>36</v>
      </c>
      <c r="E314" t="s">
        <v>37</v>
      </c>
      <c r="F314" t="s">
        <v>38</v>
      </c>
      <c r="G314" t="s">
        <v>39</v>
      </c>
      <c r="H314">
        <v>99999</v>
      </c>
      <c r="I314" t="s">
        <v>40</v>
      </c>
      <c r="J314" t="s">
        <v>41</v>
      </c>
      <c r="K314" t="s">
        <v>42</v>
      </c>
      <c r="L314" s="4">
        <v>42002</v>
      </c>
      <c r="M314" t="s">
        <v>43</v>
      </c>
      <c r="N314" t="s">
        <v>44</v>
      </c>
      <c r="O314" t="s">
        <v>37</v>
      </c>
      <c r="P314" t="s">
        <v>38</v>
      </c>
      <c r="Q314" t="s">
        <v>39</v>
      </c>
      <c r="R314">
        <v>99999</v>
      </c>
      <c r="S314" t="s">
        <v>40</v>
      </c>
      <c r="T314" t="s">
        <v>45</v>
      </c>
      <c r="U314" t="s">
        <v>46</v>
      </c>
      <c r="V314" t="s">
        <v>47</v>
      </c>
      <c r="W314">
        <v>14</v>
      </c>
      <c r="X314">
        <v>14</v>
      </c>
      <c r="Y314" s="6">
        <v>196</v>
      </c>
      <c r="Z314" s="5">
        <v>19.795999999999999</v>
      </c>
    </row>
    <row r="315" spans="1:26" hidden="1">
      <c r="A315">
        <v>1369</v>
      </c>
      <c r="B315" s="4">
        <v>42000</v>
      </c>
      <c r="C315">
        <v>27</v>
      </c>
      <c r="D315" t="s">
        <v>36</v>
      </c>
      <c r="E315" t="s">
        <v>37</v>
      </c>
      <c r="F315" t="s">
        <v>38</v>
      </c>
      <c r="G315" t="s">
        <v>39</v>
      </c>
      <c r="H315">
        <v>99999</v>
      </c>
      <c r="I315" t="s">
        <v>40</v>
      </c>
      <c r="J315" t="s">
        <v>41</v>
      </c>
      <c r="K315" t="s">
        <v>42</v>
      </c>
      <c r="L315" s="4">
        <v>42002</v>
      </c>
      <c r="M315" t="s">
        <v>43</v>
      </c>
      <c r="N315" t="s">
        <v>44</v>
      </c>
      <c r="O315" t="s">
        <v>37</v>
      </c>
      <c r="P315" t="s">
        <v>38</v>
      </c>
      <c r="Q315" t="s">
        <v>39</v>
      </c>
      <c r="R315">
        <v>99999</v>
      </c>
      <c r="S315" t="s">
        <v>40</v>
      </c>
      <c r="T315" t="s">
        <v>45</v>
      </c>
      <c r="U315" t="s">
        <v>48</v>
      </c>
      <c r="V315" t="s">
        <v>49</v>
      </c>
      <c r="W315">
        <v>3.5</v>
      </c>
      <c r="X315">
        <v>70</v>
      </c>
      <c r="Y315" s="6">
        <v>245</v>
      </c>
      <c r="Z315" s="5">
        <v>25.234999999999999</v>
      </c>
    </row>
    <row r="316" spans="1:26" hidden="1">
      <c r="A316">
        <v>1370</v>
      </c>
      <c r="B316" s="4">
        <v>41977</v>
      </c>
      <c r="C316">
        <v>4</v>
      </c>
      <c r="D316" t="s">
        <v>50</v>
      </c>
      <c r="E316" t="s">
        <v>51</v>
      </c>
      <c r="F316" t="s">
        <v>52</v>
      </c>
      <c r="G316" t="s">
        <v>53</v>
      </c>
      <c r="H316">
        <v>99999</v>
      </c>
      <c r="I316" t="s">
        <v>40</v>
      </c>
      <c r="J316" t="s">
        <v>54</v>
      </c>
      <c r="K316" t="s">
        <v>55</v>
      </c>
      <c r="L316" s="4">
        <v>41979</v>
      </c>
      <c r="M316" t="s">
        <v>56</v>
      </c>
      <c r="N316" t="s">
        <v>57</v>
      </c>
      <c r="O316" t="s">
        <v>51</v>
      </c>
      <c r="P316" t="s">
        <v>52</v>
      </c>
      <c r="Q316" t="s">
        <v>53</v>
      </c>
      <c r="R316">
        <v>99999</v>
      </c>
      <c r="S316" t="s">
        <v>40</v>
      </c>
      <c r="T316" t="s">
        <v>58</v>
      </c>
      <c r="U316" t="s">
        <v>59</v>
      </c>
      <c r="V316" t="s">
        <v>49</v>
      </c>
      <c r="W316">
        <v>30</v>
      </c>
      <c r="X316">
        <v>100</v>
      </c>
      <c r="Y316" s="6">
        <v>3000</v>
      </c>
      <c r="Z316" s="5">
        <v>291</v>
      </c>
    </row>
    <row r="317" spans="1:26" hidden="1">
      <c r="A317">
        <v>1371</v>
      </c>
      <c r="B317" s="4">
        <v>41977</v>
      </c>
      <c r="C317">
        <v>4</v>
      </c>
      <c r="D317" t="s">
        <v>50</v>
      </c>
      <c r="E317" t="s">
        <v>51</v>
      </c>
      <c r="F317" t="s">
        <v>52</v>
      </c>
      <c r="G317" t="s">
        <v>53</v>
      </c>
      <c r="H317">
        <v>99999</v>
      </c>
      <c r="I317" t="s">
        <v>40</v>
      </c>
      <c r="J317" t="s">
        <v>54</v>
      </c>
      <c r="K317" t="s">
        <v>55</v>
      </c>
      <c r="L317" s="4">
        <v>41979</v>
      </c>
      <c r="M317" t="s">
        <v>56</v>
      </c>
      <c r="N317" t="s">
        <v>57</v>
      </c>
      <c r="O317" t="s">
        <v>51</v>
      </c>
      <c r="P317" t="s">
        <v>52</v>
      </c>
      <c r="Q317" t="s">
        <v>53</v>
      </c>
      <c r="R317">
        <v>99999</v>
      </c>
      <c r="S317" t="s">
        <v>40</v>
      </c>
      <c r="T317" t="s">
        <v>58</v>
      </c>
      <c r="U317" t="s">
        <v>60</v>
      </c>
      <c r="V317" t="s">
        <v>49</v>
      </c>
      <c r="W317">
        <v>53</v>
      </c>
      <c r="X317">
        <v>27</v>
      </c>
      <c r="Y317" s="6">
        <v>1431</v>
      </c>
      <c r="Z317" s="5">
        <v>143.1</v>
      </c>
    </row>
    <row r="318" spans="1:26" hidden="1">
      <c r="A318">
        <v>1372</v>
      </c>
      <c r="B318" s="4">
        <v>41977</v>
      </c>
      <c r="C318">
        <v>4</v>
      </c>
      <c r="D318" t="s">
        <v>50</v>
      </c>
      <c r="E318" t="s">
        <v>51</v>
      </c>
      <c r="F318" t="s">
        <v>52</v>
      </c>
      <c r="G318" t="s">
        <v>53</v>
      </c>
      <c r="H318">
        <v>99999</v>
      </c>
      <c r="I318" t="s">
        <v>40</v>
      </c>
      <c r="J318" t="s">
        <v>54</v>
      </c>
      <c r="K318" t="s">
        <v>55</v>
      </c>
      <c r="L318" s="4">
        <v>41979</v>
      </c>
      <c r="M318" t="s">
        <v>56</v>
      </c>
      <c r="N318" t="s">
        <v>57</v>
      </c>
      <c r="O318" t="s">
        <v>51</v>
      </c>
      <c r="P318" t="s">
        <v>52</v>
      </c>
      <c r="Q318" t="s">
        <v>53</v>
      </c>
      <c r="R318">
        <v>99999</v>
      </c>
      <c r="S318" t="s">
        <v>40</v>
      </c>
      <c r="T318" t="s">
        <v>58</v>
      </c>
      <c r="U318" t="s">
        <v>48</v>
      </c>
      <c r="V318" t="s">
        <v>49</v>
      </c>
      <c r="W318">
        <v>3.5</v>
      </c>
      <c r="X318">
        <v>70</v>
      </c>
      <c r="Y318" s="6">
        <v>245</v>
      </c>
      <c r="Z318" s="5">
        <v>24.01</v>
      </c>
    </row>
    <row r="319" spans="1:26" hidden="1">
      <c r="A319">
        <v>1373</v>
      </c>
      <c r="B319" s="4">
        <v>41985</v>
      </c>
      <c r="C319">
        <v>12</v>
      </c>
      <c r="D319" t="s">
        <v>61</v>
      </c>
      <c r="E319" t="s">
        <v>62</v>
      </c>
      <c r="F319" t="s">
        <v>38</v>
      </c>
      <c r="G319" t="s">
        <v>39</v>
      </c>
      <c r="H319">
        <v>99999</v>
      </c>
      <c r="I319" t="s">
        <v>40</v>
      </c>
      <c r="J319" t="s">
        <v>41</v>
      </c>
      <c r="K319" t="s">
        <v>42</v>
      </c>
      <c r="L319" s="4">
        <v>41987</v>
      </c>
      <c r="M319" t="s">
        <v>43</v>
      </c>
      <c r="N319" t="s">
        <v>63</v>
      </c>
      <c r="O319" t="s">
        <v>62</v>
      </c>
      <c r="P319" t="s">
        <v>38</v>
      </c>
      <c r="Q319" t="s">
        <v>39</v>
      </c>
      <c r="R319">
        <v>99999</v>
      </c>
      <c r="S319" t="s">
        <v>40</v>
      </c>
      <c r="T319" t="s">
        <v>58</v>
      </c>
      <c r="U319" t="s">
        <v>64</v>
      </c>
      <c r="V319" t="s">
        <v>47</v>
      </c>
      <c r="W319">
        <v>18</v>
      </c>
      <c r="X319">
        <v>57</v>
      </c>
      <c r="Y319" s="6">
        <v>1026</v>
      </c>
      <c r="Z319" s="5">
        <v>102.6</v>
      </c>
    </row>
    <row r="320" spans="1:26" hidden="1">
      <c r="A320">
        <v>1374</v>
      </c>
      <c r="B320" s="4">
        <v>41985</v>
      </c>
      <c r="C320">
        <v>12</v>
      </c>
      <c r="D320" t="s">
        <v>61</v>
      </c>
      <c r="E320" t="s">
        <v>62</v>
      </c>
      <c r="F320" t="s">
        <v>38</v>
      </c>
      <c r="G320" t="s">
        <v>39</v>
      </c>
      <c r="H320">
        <v>99999</v>
      </c>
      <c r="I320" t="s">
        <v>40</v>
      </c>
      <c r="J320" t="s">
        <v>41</v>
      </c>
      <c r="K320" t="s">
        <v>42</v>
      </c>
      <c r="L320" s="4">
        <v>41987</v>
      </c>
      <c r="M320" t="s">
        <v>43</v>
      </c>
      <c r="N320" t="s">
        <v>63</v>
      </c>
      <c r="O320" t="s">
        <v>62</v>
      </c>
      <c r="P320" t="s">
        <v>38</v>
      </c>
      <c r="Q320" t="s">
        <v>39</v>
      </c>
      <c r="R320">
        <v>99999</v>
      </c>
      <c r="S320" t="s">
        <v>40</v>
      </c>
      <c r="T320" t="s">
        <v>58</v>
      </c>
      <c r="U320" t="s">
        <v>65</v>
      </c>
      <c r="V320" t="s">
        <v>47</v>
      </c>
      <c r="W320">
        <v>46</v>
      </c>
      <c r="X320">
        <v>83</v>
      </c>
      <c r="Y320" s="6">
        <v>3818</v>
      </c>
      <c r="Z320" s="5">
        <v>374.16399999999999</v>
      </c>
    </row>
    <row r="321" spans="1:26">
      <c r="A321">
        <v>1375</v>
      </c>
      <c r="B321" s="4">
        <v>41981</v>
      </c>
      <c r="C321">
        <v>8</v>
      </c>
      <c r="D321" t="s">
        <v>66</v>
      </c>
      <c r="E321" t="s">
        <v>67</v>
      </c>
      <c r="F321" t="s">
        <v>68</v>
      </c>
      <c r="G321" t="s">
        <v>69</v>
      </c>
      <c r="H321">
        <v>99999</v>
      </c>
      <c r="I321" t="s">
        <v>40</v>
      </c>
      <c r="J321" t="s">
        <v>70</v>
      </c>
      <c r="K321" t="s">
        <v>71</v>
      </c>
      <c r="L321" s="4">
        <v>41983</v>
      </c>
      <c r="M321" t="s">
        <v>72</v>
      </c>
      <c r="N321" t="s">
        <v>73</v>
      </c>
      <c r="O321" t="s">
        <v>67</v>
      </c>
      <c r="P321" t="s">
        <v>68</v>
      </c>
      <c r="Q321" t="s">
        <v>69</v>
      </c>
      <c r="R321">
        <v>99999</v>
      </c>
      <c r="S321" t="s">
        <v>40</v>
      </c>
      <c r="T321" t="s">
        <v>58</v>
      </c>
      <c r="U321" t="s">
        <v>74</v>
      </c>
      <c r="V321" t="s">
        <v>75</v>
      </c>
      <c r="W321">
        <v>9.1999999999999993</v>
      </c>
      <c r="X321">
        <v>76</v>
      </c>
      <c r="Y321" s="6">
        <v>699.2</v>
      </c>
      <c r="Z321" s="5">
        <v>67.123199999999997</v>
      </c>
    </row>
    <row r="322" spans="1:26">
      <c r="A322">
        <v>1376</v>
      </c>
      <c r="B322" s="4">
        <v>41977</v>
      </c>
      <c r="C322">
        <v>4</v>
      </c>
      <c r="D322" t="s">
        <v>50</v>
      </c>
      <c r="E322" t="s">
        <v>51</v>
      </c>
      <c r="F322" t="s">
        <v>52</v>
      </c>
      <c r="G322" t="s">
        <v>53</v>
      </c>
      <c r="H322">
        <v>99999</v>
      </c>
      <c r="I322" t="s">
        <v>40</v>
      </c>
      <c r="J322" t="s">
        <v>54</v>
      </c>
      <c r="K322" t="s">
        <v>55</v>
      </c>
      <c r="L322">
        <v>41979</v>
      </c>
      <c r="M322" t="s">
        <v>72</v>
      </c>
      <c r="N322" t="s">
        <v>57</v>
      </c>
      <c r="O322" t="s">
        <v>51</v>
      </c>
      <c r="P322" t="s">
        <v>52</v>
      </c>
      <c r="Q322" t="s">
        <v>53</v>
      </c>
      <c r="R322">
        <v>99999</v>
      </c>
      <c r="S322" t="s">
        <v>40</v>
      </c>
      <c r="T322" t="s">
        <v>45</v>
      </c>
      <c r="U322" t="s">
        <v>74</v>
      </c>
      <c r="V322" t="s">
        <v>75</v>
      </c>
      <c r="W322">
        <v>9.1999999999999993</v>
      </c>
      <c r="X322">
        <v>80</v>
      </c>
      <c r="Y322" s="6">
        <v>736</v>
      </c>
      <c r="Z322" s="5">
        <v>72.864000000000004</v>
      </c>
    </row>
    <row r="323" spans="1:26" hidden="1">
      <c r="A323">
        <v>1377</v>
      </c>
      <c r="B323" s="4">
        <v>42002</v>
      </c>
      <c r="C323">
        <v>29</v>
      </c>
      <c r="D323" t="s">
        <v>76</v>
      </c>
      <c r="E323" t="s">
        <v>77</v>
      </c>
      <c r="F323" t="s">
        <v>78</v>
      </c>
      <c r="G323" t="s">
        <v>79</v>
      </c>
      <c r="H323">
        <v>99999</v>
      </c>
      <c r="I323" t="s">
        <v>40</v>
      </c>
      <c r="J323" t="s">
        <v>80</v>
      </c>
      <c r="K323" t="s">
        <v>42</v>
      </c>
      <c r="L323">
        <v>42004</v>
      </c>
      <c r="M323" t="s">
        <v>43</v>
      </c>
      <c r="N323" t="s">
        <v>81</v>
      </c>
      <c r="O323" t="s">
        <v>77</v>
      </c>
      <c r="P323" t="s">
        <v>78</v>
      </c>
      <c r="Q323" t="s">
        <v>79</v>
      </c>
      <c r="R323">
        <v>99999</v>
      </c>
      <c r="S323" t="s">
        <v>40</v>
      </c>
      <c r="T323" t="s">
        <v>45</v>
      </c>
      <c r="U323" t="s">
        <v>82</v>
      </c>
      <c r="V323" t="s">
        <v>83</v>
      </c>
      <c r="W323">
        <v>12.75</v>
      </c>
      <c r="X323">
        <v>47</v>
      </c>
      <c r="Y323" s="6">
        <v>599.25</v>
      </c>
      <c r="Z323" s="5">
        <v>59.325749999999999</v>
      </c>
    </row>
    <row r="324" spans="1:26" hidden="1">
      <c r="A324">
        <v>1378</v>
      </c>
      <c r="B324" s="4">
        <v>41976</v>
      </c>
      <c r="C324">
        <v>3</v>
      </c>
      <c r="D324" t="s">
        <v>84</v>
      </c>
      <c r="E324" t="s">
        <v>85</v>
      </c>
      <c r="F324" t="s">
        <v>86</v>
      </c>
      <c r="G324" t="s">
        <v>87</v>
      </c>
      <c r="H324">
        <v>99999</v>
      </c>
      <c r="I324" t="s">
        <v>40</v>
      </c>
      <c r="J324" t="s">
        <v>41</v>
      </c>
      <c r="K324" t="s">
        <v>42</v>
      </c>
      <c r="L324">
        <v>41978</v>
      </c>
      <c r="M324" t="s">
        <v>43</v>
      </c>
      <c r="N324" t="s">
        <v>88</v>
      </c>
      <c r="O324" t="s">
        <v>85</v>
      </c>
      <c r="P324" t="s">
        <v>86</v>
      </c>
      <c r="Q324" t="s">
        <v>87</v>
      </c>
      <c r="R324">
        <v>99999</v>
      </c>
      <c r="S324" t="s">
        <v>40</v>
      </c>
      <c r="T324" t="s">
        <v>89</v>
      </c>
      <c r="U324" t="s">
        <v>90</v>
      </c>
      <c r="V324" t="s">
        <v>91</v>
      </c>
      <c r="W324">
        <v>9.65</v>
      </c>
      <c r="X324">
        <v>96</v>
      </c>
      <c r="Y324" s="6">
        <v>926.4</v>
      </c>
      <c r="Z324" s="5">
        <v>94.492800000000003</v>
      </c>
    </row>
    <row r="325" spans="1:26" hidden="1">
      <c r="A325">
        <v>1379</v>
      </c>
      <c r="B325" s="4">
        <v>41979</v>
      </c>
      <c r="C325">
        <v>6</v>
      </c>
      <c r="D325" t="s">
        <v>92</v>
      </c>
      <c r="E325" t="s">
        <v>93</v>
      </c>
      <c r="F325" t="s">
        <v>94</v>
      </c>
      <c r="G325" t="s">
        <v>95</v>
      </c>
      <c r="H325">
        <v>99999</v>
      </c>
      <c r="I325" t="s">
        <v>40</v>
      </c>
      <c r="J325" t="s">
        <v>96</v>
      </c>
      <c r="K325" t="s">
        <v>71</v>
      </c>
      <c r="L325">
        <v>41981</v>
      </c>
      <c r="M325" t="s">
        <v>43</v>
      </c>
      <c r="N325" t="s">
        <v>97</v>
      </c>
      <c r="O325" t="s">
        <v>93</v>
      </c>
      <c r="P325" t="s">
        <v>94</v>
      </c>
      <c r="Q325" t="s">
        <v>95</v>
      </c>
      <c r="R325">
        <v>99999</v>
      </c>
      <c r="S325" t="s">
        <v>40</v>
      </c>
      <c r="T325" t="s">
        <v>58</v>
      </c>
      <c r="U325" t="s">
        <v>98</v>
      </c>
      <c r="V325" t="s">
        <v>99</v>
      </c>
      <c r="W325">
        <v>40</v>
      </c>
      <c r="X325">
        <v>32</v>
      </c>
      <c r="Y325" s="6">
        <v>1280</v>
      </c>
      <c r="Z325" s="5">
        <v>134.4</v>
      </c>
    </row>
    <row r="326" spans="1:26" hidden="1">
      <c r="A326">
        <v>1380</v>
      </c>
      <c r="B326" s="4">
        <v>42001</v>
      </c>
      <c r="C326">
        <v>28</v>
      </c>
      <c r="D326" t="s">
        <v>100</v>
      </c>
      <c r="E326" t="s">
        <v>101</v>
      </c>
      <c r="F326" t="s">
        <v>102</v>
      </c>
      <c r="G326" t="s">
        <v>103</v>
      </c>
      <c r="H326">
        <v>99999</v>
      </c>
      <c r="I326" t="s">
        <v>40</v>
      </c>
      <c r="J326" t="s">
        <v>104</v>
      </c>
      <c r="K326" t="s">
        <v>105</v>
      </c>
      <c r="L326" s="4">
        <v>42003</v>
      </c>
      <c r="M326" t="s">
        <v>72</v>
      </c>
      <c r="N326" t="s">
        <v>106</v>
      </c>
      <c r="O326" t="s">
        <v>101</v>
      </c>
      <c r="P326" t="s">
        <v>102</v>
      </c>
      <c r="Q326" t="s">
        <v>103</v>
      </c>
      <c r="R326">
        <v>99999</v>
      </c>
      <c r="S326" t="s">
        <v>40</v>
      </c>
      <c r="T326" t="s">
        <v>45</v>
      </c>
      <c r="U326" t="s">
        <v>65</v>
      </c>
      <c r="V326" t="s">
        <v>47</v>
      </c>
      <c r="W326">
        <v>46</v>
      </c>
      <c r="X326">
        <v>16</v>
      </c>
      <c r="Y326" s="6">
        <v>736</v>
      </c>
      <c r="Z326" s="5">
        <v>73.599999999999994</v>
      </c>
    </row>
    <row r="327" spans="1:26" hidden="1">
      <c r="A327">
        <v>1381</v>
      </c>
      <c r="B327" s="4">
        <v>41981</v>
      </c>
      <c r="C327">
        <v>8</v>
      </c>
      <c r="D327" t="s">
        <v>66</v>
      </c>
      <c r="E327" t="s">
        <v>67</v>
      </c>
      <c r="F327" t="s">
        <v>68</v>
      </c>
      <c r="G327" t="s">
        <v>69</v>
      </c>
      <c r="H327">
        <v>99999</v>
      </c>
      <c r="I327" t="s">
        <v>40</v>
      </c>
      <c r="J327" t="s">
        <v>70</v>
      </c>
      <c r="K327" t="s">
        <v>71</v>
      </c>
      <c r="L327" s="4">
        <v>41983</v>
      </c>
      <c r="M327" t="s">
        <v>72</v>
      </c>
      <c r="N327" t="s">
        <v>73</v>
      </c>
      <c r="O327" t="s">
        <v>67</v>
      </c>
      <c r="P327" t="s">
        <v>68</v>
      </c>
      <c r="Q327" t="s">
        <v>69</v>
      </c>
      <c r="R327">
        <v>99999</v>
      </c>
      <c r="S327" t="s">
        <v>40</v>
      </c>
      <c r="T327" t="s">
        <v>45</v>
      </c>
      <c r="U327" t="s">
        <v>82</v>
      </c>
      <c r="V327" t="s">
        <v>83</v>
      </c>
      <c r="W327">
        <v>12.75</v>
      </c>
      <c r="X327">
        <v>41</v>
      </c>
      <c r="Y327" s="6">
        <v>522.75</v>
      </c>
      <c r="Z327" s="5">
        <v>51.229500000000002</v>
      </c>
    </row>
    <row r="328" spans="1:26" hidden="1">
      <c r="A328">
        <v>1382</v>
      </c>
      <c r="B328" s="4">
        <v>41983</v>
      </c>
      <c r="C328">
        <v>10</v>
      </c>
      <c r="D328" t="s">
        <v>107</v>
      </c>
      <c r="E328" t="s">
        <v>108</v>
      </c>
      <c r="F328" t="s">
        <v>109</v>
      </c>
      <c r="G328" t="s">
        <v>110</v>
      </c>
      <c r="H328">
        <v>99999</v>
      </c>
      <c r="I328" t="s">
        <v>40</v>
      </c>
      <c r="J328" t="s">
        <v>111</v>
      </c>
      <c r="K328" t="s">
        <v>55</v>
      </c>
      <c r="L328" s="4">
        <v>41985</v>
      </c>
      <c r="M328" t="s">
        <v>43</v>
      </c>
      <c r="N328" t="s">
        <v>112</v>
      </c>
      <c r="O328" t="s">
        <v>108</v>
      </c>
      <c r="P328" t="s">
        <v>109</v>
      </c>
      <c r="Q328" t="s">
        <v>110</v>
      </c>
      <c r="R328">
        <v>99999</v>
      </c>
      <c r="S328" t="s">
        <v>40</v>
      </c>
      <c r="T328" t="s">
        <v>58</v>
      </c>
      <c r="U328" t="s">
        <v>113</v>
      </c>
      <c r="V328" t="s">
        <v>47</v>
      </c>
      <c r="W328">
        <v>2.99</v>
      </c>
      <c r="X328">
        <v>41</v>
      </c>
      <c r="Y328" s="6">
        <v>122.59</v>
      </c>
      <c r="Z328" s="5">
        <v>12.87195</v>
      </c>
    </row>
    <row r="329" spans="1:26" hidden="1">
      <c r="A329">
        <v>1383</v>
      </c>
      <c r="B329" s="4">
        <v>41980</v>
      </c>
      <c r="C329">
        <v>7</v>
      </c>
      <c r="D329" t="s">
        <v>114</v>
      </c>
      <c r="E329" t="s">
        <v>115</v>
      </c>
      <c r="F329" t="s">
        <v>116</v>
      </c>
      <c r="G329" t="s">
        <v>117</v>
      </c>
      <c r="H329">
        <v>99999</v>
      </c>
      <c r="I329" t="s">
        <v>40</v>
      </c>
      <c r="J329" t="s">
        <v>70</v>
      </c>
      <c r="K329" t="s">
        <v>71</v>
      </c>
      <c r="L329" s="4"/>
      <c r="N329" t="s">
        <v>118</v>
      </c>
      <c r="O329" t="s">
        <v>115</v>
      </c>
      <c r="P329" t="s">
        <v>116</v>
      </c>
      <c r="Q329" t="s">
        <v>117</v>
      </c>
      <c r="R329">
        <v>99999</v>
      </c>
      <c r="S329" t="s">
        <v>40</v>
      </c>
      <c r="U329" t="s">
        <v>65</v>
      </c>
      <c r="V329" t="s">
        <v>47</v>
      </c>
      <c r="W329">
        <v>46</v>
      </c>
      <c r="X329">
        <v>41</v>
      </c>
      <c r="Y329" s="6">
        <v>1886</v>
      </c>
      <c r="Z329" s="5">
        <v>194.25800000000001</v>
      </c>
    </row>
    <row r="330" spans="1:26" hidden="1">
      <c r="A330">
        <v>1384</v>
      </c>
      <c r="B330" s="4">
        <v>41983</v>
      </c>
      <c r="C330">
        <v>10</v>
      </c>
      <c r="D330" t="s">
        <v>107</v>
      </c>
      <c r="E330" t="s">
        <v>108</v>
      </c>
      <c r="F330" t="s">
        <v>109</v>
      </c>
      <c r="G330" t="s">
        <v>110</v>
      </c>
      <c r="H330">
        <v>99999</v>
      </c>
      <c r="I330" t="s">
        <v>40</v>
      </c>
      <c r="J330" t="s">
        <v>111</v>
      </c>
      <c r="K330" t="s">
        <v>55</v>
      </c>
      <c r="L330" s="4">
        <v>41985</v>
      </c>
      <c r="M330" t="s">
        <v>56</v>
      </c>
      <c r="N330" t="s">
        <v>112</v>
      </c>
      <c r="O330" t="s">
        <v>108</v>
      </c>
      <c r="P330" t="s">
        <v>109</v>
      </c>
      <c r="Q330" t="s">
        <v>110</v>
      </c>
      <c r="R330">
        <v>99999</v>
      </c>
      <c r="S330" t="s">
        <v>40</v>
      </c>
      <c r="U330" t="s">
        <v>119</v>
      </c>
      <c r="V330" t="s">
        <v>120</v>
      </c>
      <c r="W330" s="5">
        <v>25</v>
      </c>
      <c r="X330">
        <v>94</v>
      </c>
      <c r="Y330" s="6">
        <v>2350</v>
      </c>
      <c r="Z330" s="5">
        <v>235</v>
      </c>
    </row>
    <row r="331" spans="1:26" hidden="1">
      <c r="A331">
        <v>1385</v>
      </c>
      <c r="B331" s="4">
        <v>41983</v>
      </c>
      <c r="C331">
        <v>10</v>
      </c>
      <c r="D331" t="s">
        <v>107</v>
      </c>
      <c r="E331" t="s">
        <v>108</v>
      </c>
      <c r="F331" t="s">
        <v>109</v>
      </c>
      <c r="G331" t="s">
        <v>110</v>
      </c>
      <c r="H331">
        <v>99999</v>
      </c>
      <c r="I331" t="s">
        <v>40</v>
      </c>
      <c r="J331" t="s">
        <v>111</v>
      </c>
      <c r="K331" t="s">
        <v>55</v>
      </c>
      <c r="L331" s="4">
        <v>41985</v>
      </c>
      <c r="M331" t="s">
        <v>56</v>
      </c>
      <c r="N331" t="s">
        <v>112</v>
      </c>
      <c r="O331" t="s">
        <v>108</v>
      </c>
      <c r="P331" t="s">
        <v>109</v>
      </c>
      <c r="Q331" t="s">
        <v>110</v>
      </c>
      <c r="R331">
        <v>99999</v>
      </c>
      <c r="S331" t="s">
        <v>40</v>
      </c>
      <c r="U331" t="s">
        <v>121</v>
      </c>
      <c r="V331" t="s">
        <v>122</v>
      </c>
      <c r="W331" s="5">
        <v>22</v>
      </c>
      <c r="X331">
        <v>20</v>
      </c>
      <c r="Y331" s="6">
        <v>440</v>
      </c>
      <c r="Z331" s="5">
        <v>46.2</v>
      </c>
    </row>
    <row r="332" spans="1:26">
      <c r="A332">
        <v>1386</v>
      </c>
      <c r="B332" s="4">
        <v>41983</v>
      </c>
      <c r="C332">
        <v>10</v>
      </c>
      <c r="D332" t="s">
        <v>107</v>
      </c>
      <c r="E332" t="s">
        <v>108</v>
      </c>
      <c r="F332" t="s">
        <v>109</v>
      </c>
      <c r="G332" t="s">
        <v>110</v>
      </c>
      <c r="H332">
        <v>99999</v>
      </c>
      <c r="I332" t="s">
        <v>40</v>
      </c>
      <c r="J332" t="s">
        <v>111</v>
      </c>
      <c r="K332" t="s">
        <v>55</v>
      </c>
      <c r="L332">
        <v>41985</v>
      </c>
      <c r="M332" t="s">
        <v>56</v>
      </c>
      <c r="N332" t="s">
        <v>112</v>
      </c>
      <c r="O332" t="s">
        <v>108</v>
      </c>
      <c r="P332" t="s">
        <v>109</v>
      </c>
      <c r="Q332" t="s">
        <v>110</v>
      </c>
      <c r="R332">
        <v>99999</v>
      </c>
      <c r="S332" t="s">
        <v>40</v>
      </c>
      <c r="U332" t="s">
        <v>74</v>
      </c>
      <c r="V332" t="s">
        <v>75</v>
      </c>
      <c r="W332" s="5">
        <v>9.1999999999999993</v>
      </c>
      <c r="X332">
        <v>13</v>
      </c>
      <c r="Y332" s="6">
        <v>119.6</v>
      </c>
      <c r="Z332" s="5">
        <v>12.4384</v>
      </c>
    </row>
    <row r="333" spans="1:26" hidden="1">
      <c r="A333">
        <v>1387</v>
      </c>
      <c r="B333" s="4">
        <v>41984</v>
      </c>
      <c r="C333">
        <v>11</v>
      </c>
      <c r="D333" t="s">
        <v>123</v>
      </c>
      <c r="E333" t="s">
        <v>124</v>
      </c>
      <c r="F333" t="s">
        <v>125</v>
      </c>
      <c r="G333" t="s">
        <v>126</v>
      </c>
      <c r="H333">
        <v>99999</v>
      </c>
      <c r="I333" t="s">
        <v>40</v>
      </c>
      <c r="J333" t="s">
        <v>104</v>
      </c>
      <c r="K333" t="s">
        <v>105</v>
      </c>
      <c r="M333" t="s">
        <v>72</v>
      </c>
      <c r="N333" t="s">
        <v>127</v>
      </c>
      <c r="O333" t="s">
        <v>124</v>
      </c>
      <c r="P333" t="s">
        <v>125</v>
      </c>
      <c r="Q333" t="s">
        <v>126</v>
      </c>
      <c r="R333">
        <v>99999</v>
      </c>
      <c r="S333" t="s">
        <v>40</v>
      </c>
      <c r="U333" t="s">
        <v>48</v>
      </c>
      <c r="V333" t="s">
        <v>49</v>
      </c>
      <c r="W333" s="5">
        <v>3.5</v>
      </c>
      <c r="X333">
        <v>74</v>
      </c>
      <c r="Y333" s="6">
        <v>259</v>
      </c>
      <c r="Z333" s="5">
        <v>26.936</v>
      </c>
    </row>
    <row r="334" spans="1:26" hidden="1">
      <c r="A334">
        <v>1388</v>
      </c>
      <c r="B334" s="4">
        <v>41984</v>
      </c>
      <c r="C334">
        <v>11</v>
      </c>
      <c r="D334" t="s">
        <v>123</v>
      </c>
      <c r="E334" t="s">
        <v>124</v>
      </c>
      <c r="F334" t="s">
        <v>125</v>
      </c>
      <c r="G334" t="s">
        <v>126</v>
      </c>
      <c r="H334">
        <v>99999</v>
      </c>
      <c r="I334" t="s">
        <v>40</v>
      </c>
      <c r="J334" t="s">
        <v>104</v>
      </c>
      <c r="K334" t="s">
        <v>105</v>
      </c>
      <c r="M334" t="s">
        <v>72</v>
      </c>
      <c r="N334" t="s">
        <v>127</v>
      </c>
      <c r="O334" t="s">
        <v>124</v>
      </c>
      <c r="P334" t="s">
        <v>125</v>
      </c>
      <c r="Q334" t="s">
        <v>126</v>
      </c>
      <c r="R334">
        <v>99999</v>
      </c>
      <c r="S334" t="s">
        <v>40</v>
      </c>
      <c r="U334" t="s">
        <v>113</v>
      </c>
      <c r="V334" t="s">
        <v>47</v>
      </c>
      <c r="W334" s="5">
        <v>2.99</v>
      </c>
      <c r="X334">
        <v>53</v>
      </c>
      <c r="Y334" s="6">
        <v>158.47</v>
      </c>
      <c r="Z334" s="5">
        <v>16.005469999999999</v>
      </c>
    </row>
    <row r="335" spans="1:26" hidden="1">
      <c r="A335">
        <v>1389</v>
      </c>
      <c r="B335" s="4">
        <v>41974</v>
      </c>
      <c r="C335">
        <v>1</v>
      </c>
      <c r="D335" t="s">
        <v>128</v>
      </c>
      <c r="E335" t="s">
        <v>129</v>
      </c>
      <c r="F335" t="s">
        <v>130</v>
      </c>
      <c r="G335" t="s">
        <v>131</v>
      </c>
      <c r="H335">
        <v>99999</v>
      </c>
      <c r="I335" t="s">
        <v>40</v>
      </c>
      <c r="J335" t="s">
        <v>70</v>
      </c>
      <c r="K335" t="s">
        <v>71</v>
      </c>
      <c r="N335" t="s">
        <v>132</v>
      </c>
      <c r="O335" t="s">
        <v>129</v>
      </c>
      <c r="P335" t="s">
        <v>130</v>
      </c>
      <c r="Q335" t="s">
        <v>131</v>
      </c>
      <c r="R335">
        <v>99999</v>
      </c>
      <c r="S335" t="s">
        <v>40</v>
      </c>
      <c r="U335" t="s">
        <v>64</v>
      </c>
      <c r="V335" t="s">
        <v>47</v>
      </c>
      <c r="W335" s="5">
        <v>18</v>
      </c>
      <c r="X335">
        <v>99</v>
      </c>
      <c r="Y335" s="6">
        <v>1782</v>
      </c>
      <c r="Z335" s="5">
        <v>174.636</v>
      </c>
    </row>
    <row r="336" spans="1:26" hidden="1">
      <c r="A336">
        <v>1390</v>
      </c>
      <c r="B336" s="4">
        <v>41974</v>
      </c>
      <c r="C336">
        <v>1</v>
      </c>
      <c r="D336" t="s">
        <v>128</v>
      </c>
      <c r="E336" t="s">
        <v>129</v>
      </c>
      <c r="F336" t="s">
        <v>130</v>
      </c>
      <c r="G336" t="s">
        <v>131</v>
      </c>
      <c r="H336">
        <v>99999</v>
      </c>
      <c r="I336" t="s">
        <v>40</v>
      </c>
      <c r="J336" t="s">
        <v>70</v>
      </c>
      <c r="K336" t="s">
        <v>71</v>
      </c>
      <c r="N336" t="s">
        <v>132</v>
      </c>
      <c r="O336" t="s">
        <v>129</v>
      </c>
      <c r="P336" t="s">
        <v>130</v>
      </c>
      <c r="Q336" t="s">
        <v>131</v>
      </c>
      <c r="R336">
        <v>99999</v>
      </c>
      <c r="S336" t="s">
        <v>40</v>
      </c>
      <c r="U336" t="s">
        <v>65</v>
      </c>
      <c r="V336" t="s">
        <v>47</v>
      </c>
      <c r="W336" s="5">
        <v>46</v>
      </c>
      <c r="X336">
        <v>89</v>
      </c>
      <c r="Y336" s="6">
        <v>4094</v>
      </c>
      <c r="Z336" s="5">
        <v>388.93</v>
      </c>
    </row>
    <row r="337" spans="1:26" hidden="1">
      <c r="A337">
        <v>1391</v>
      </c>
      <c r="B337" s="4">
        <v>41974</v>
      </c>
      <c r="C337">
        <v>1</v>
      </c>
      <c r="D337" t="s">
        <v>128</v>
      </c>
      <c r="E337" t="s">
        <v>129</v>
      </c>
      <c r="F337" t="s">
        <v>130</v>
      </c>
      <c r="G337" t="s">
        <v>131</v>
      </c>
      <c r="H337">
        <v>99999</v>
      </c>
      <c r="I337" t="s">
        <v>40</v>
      </c>
      <c r="J337" t="s">
        <v>70</v>
      </c>
      <c r="K337" t="s">
        <v>71</v>
      </c>
      <c r="L337" s="4"/>
      <c r="N337" t="s">
        <v>132</v>
      </c>
      <c r="O337" t="s">
        <v>129</v>
      </c>
      <c r="P337" t="s">
        <v>130</v>
      </c>
      <c r="Q337" t="s">
        <v>131</v>
      </c>
      <c r="R337">
        <v>99999</v>
      </c>
      <c r="S337" t="s">
        <v>40</v>
      </c>
      <c r="U337" t="s">
        <v>113</v>
      </c>
      <c r="V337" t="s">
        <v>47</v>
      </c>
      <c r="W337" s="5">
        <v>2.99</v>
      </c>
      <c r="X337">
        <v>64</v>
      </c>
      <c r="Y337" s="6">
        <v>191.36</v>
      </c>
      <c r="Z337" s="5">
        <v>19.518719999999998</v>
      </c>
    </row>
    <row r="338" spans="1:26" hidden="1">
      <c r="A338">
        <v>1392</v>
      </c>
      <c r="B338" s="4">
        <v>42001</v>
      </c>
      <c r="C338">
        <v>28</v>
      </c>
      <c r="D338" t="s">
        <v>100</v>
      </c>
      <c r="E338" t="s">
        <v>101</v>
      </c>
      <c r="F338" t="s">
        <v>102</v>
      </c>
      <c r="G338" t="s">
        <v>103</v>
      </c>
      <c r="H338">
        <v>99999</v>
      </c>
      <c r="I338" t="s">
        <v>40</v>
      </c>
      <c r="J338" t="s">
        <v>104</v>
      </c>
      <c r="K338" t="s">
        <v>105</v>
      </c>
      <c r="L338" s="4">
        <v>42003</v>
      </c>
      <c r="M338" t="s">
        <v>72</v>
      </c>
      <c r="N338" t="s">
        <v>106</v>
      </c>
      <c r="O338" t="s">
        <v>101</v>
      </c>
      <c r="P338" t="s">
        <v>102</v>
      </c>
      <c r="Q338" t="s">
        <v>103</v>
      </c>
      <c r="R338">
        <v>99999</v>
      </c>
      <c r="S338" t="s">
        <v>40</v>
      </c>
      <c r="T338" t="s">
        <v>58</v>
      </c>
      <c r="U338" t="s">
        <v>90</v>
      </c>
      <c r="V338" t="s">
        <v>91</v>
      </c>
      <c r="W338" s="5">
        <v>9.65</v>
      </c>
      <c r="X338">
        <v>98</v>
      </c>
      <c r="Y338" s="6">
        <v>945.7</v>
      </c>
      <c r="Z338" s="5">
        <v>96.461399999999998</v>
      </c>
    </row>
    <row r="339" spans="1:26" hidden="1">
      <c r="A339">
        <v>1393</v>
      </c>
      <c r="B339" s="4">
        <v>42001</v>
      </c>
      <c r="C339">
        <v>28</v>
      </c>
      <c r="D339" t="s">
        <v>100</v>
      </c>
      <c r="E339" t="s">
        <v>101</v>
      </c>
      <c r="F339" t="s">
        <v>102</v>
      </c>
      <c r="G339" t="s">
        <v>103</v>
      </c>
      <c r="H339">
        <v>99999</v>
      </c>
      <c r="I339" t="s">
        <v>40</v>
      </c>
      <c r="J339" t="s">
        <v>104</v>
      </c>
      <c r="K339" t="s">
        <v>105</v>
      </c>
      <c r="L339" s="4">
        <v>42003</v>
      </c>
      <c r="M339" t="s">
        <v>72</v>
      </c>
      <c r="N339" t="s">
        <v>106</v>
      </c>
      <c r="O339" t="s">
        <v>101</v>
      </c>
      <c r="P339" t="s">
        <v>102</v>
      </c>
      <c r="Q339" t="s">
        <v>103</v>
      </c>
      <c r="R339">
        <v>99999</v>
      </c>
      <c r="S339" t="s">
        <v>40</v>
      </c>
      <c r="T339" t="s">
        <v>58</v>
      </c>
      <c r="U339" t="s">
        <v>133</v>
      </c>
      <c r="V339" t="s">
        <v>134</v>
      </c>
      <c r="W339" s="5">
        <v>18.399999999999999</v>
      </c>
      <c r="X339">
        <v>86</v>
      </c>
      <c r="Y339" s="6">
        <v>1582.4</v>
      </c>
      <c r="Z339" s="5">
        <v>155.0752</v>
      </c>
    </row>
    <row r="340" spans="1:26" hidden="1">
      <c r="A340">
        <v>1394</v>
      </c>
      <c r="B340" s="4">
        <v>41982</v>
      </c>
      <c r="C340">
        <v>9</v>
      </c>
      <c r="D340" t="s">
        <v>135</v>
      </c>
      <c r="E340" t="s">
        <v>136</v>
      </c>
      <c r="F340" t="s">
        <v>137</v>
      </c>
      <c r="G340" t="s">
        <v>138</v>
      </c>
      <c r="H340">
        <v>99999</v>
      </c>
      <c r="I340" t="s">
        <v>40</v>
      </c>
      <c r="J340" t="s">
        <v>139</v>
      </c>
      <c r="K340" t="s">
        <v>42</v>
      </c>
      <c r="L340" s="4">
        <v>41984</v>
      </c>
      <c r="M340" t="s">
        <v>56</v>
      </c>
      <c r="N340" t="s">
        <v>140</v>
      </c>
      <c r="O340" t="s">
        <v>136</v>
      </c>
      <c r="P340" t="s">
        <v>137</v>
      </c>
      <c r="Q340" t="s">
        <v>138</v>
      </c>
      <c r="R340">
        <v>99999</v>
      </c>
      <c r="S340" t="s">
        <v>40</v>
      </c>
      <c r="T340" t="s">
        <v>45</v>
      </c>
      <c r="U340" t="s">
        <v>141</v>
      </c>
      <c r="V340" t="s">
        <v>142</v>
      </c>
      <c r="W340" s="5">
        <v>19.5</v>
      </c>
      <c r="X340">
        <v>20</v>
      </c>
      <c r="Y340" s="6">
        <v>390</v>
      </c>
      <c r="Z340" s="5">
        <v>40.950000000000003</v>
      </c>
    </row>
    <row r="341" spans="1:26" hidden="1">
      <c r="A341">
        <v>1395</v>
      </c>
      <c r="B341" s="4">
        <v>41982</v>
      </c>
      <c r="C341">
        <v>9</v>
      </c>
      <c r="D341" t="s">
        <v>135</v>
      </c>
      <c r="E341" t="s">
        <v>136</v>
      </c>
      <c r="F341" t="s">
        <v>137</v>
      </c>
      <c r="G341" t="s">
        <v>138</v>
      </c>
      <c r="H341">
        <v>99999</v>
      </c>
      <c r="I341" t="s">
        <v>40</v>
      </c>
      <c r="J341" t="s">
        <v>139</v>
      </c>
      <c r="K341" t="s">
        <v>42</v>
      </c>
      <c r="L341" s="4">
        <v>41984</v>
      </c>
      <c r="M341" t="s">
        <v>56</v>
      </c>
      <c r="N341" t="s">
        <v>140</v>
      </c>
      <c r="O341" t="s">
        <v>136</v>
      </c>
      <c r="P341" t="s">
        <v>137</v>
      </c>
      <c r="Q341" t="s">
        <v>138</v>
      </c>
      <c r="R341">
        <v>99999</v>
      </c>
      <c r="S341" t="s">
        <v>40</v>
      </c>
      <c r="T341" t="s">
        <v>45</v>
      </c>
      <c r="U341" t="s">
        <v>143</v>
      </c>
      <c r="V341" t="s">
        <v>144</v>
      </c>
      <c r="W341" s="5">
        <v>34.799999999999997</v>
      </c>
      <c r="X341">
        <v>69</v>
      </c>
      <c r="Y341" s="6">
        <v>2401.1999999999998</v>
      </c>
      <c r="Z341" s="5">
        <v>240.12</v>
      </c>
    </row>
    <row r="342" spans="1:26" hidden="1">
      <c r="A342">
        <v>1396</v>
      </c>
      <c r="B342" s="4">
        <v>41979</v>
      </c>
      <c r="C342">
        <v>6</v>
      </c>
      <c r="D342" t="s">
        <v>92</v>
      </c>
      <c r="E342" t="s">
        <v>93</v>
      </c>
      <c r="F342" t="s">
        <v>94</v>
      </c>
      <c r="G342" t="s">
        <v>95</v>
      </c>
      <c r="H342">
        <v>99999</v>
      </c>
      <c r="I342" t="s">
        <v>40</v>
      </c>
      <c r="J342" t="s">
        <v>96</v>
      </c>
      <c r="K342" t="s">
        <v>71</v>
      </c>
      <c r="L342" s="4">
        <v>41981</v>
      </c>
      <c r="M342" t="s">
        <v>43</v>
      </c>
      <c r="N342" t="s">
        <v>97</v>
      </c>
      <c r="O342" t="s">
        <v>93</v>
      </c>
      <c r="P342" t="s">
        <v>94</v>
      </c>
      <c r="Q342" t="s">
        <v>95</v>
      </c>
      <c r="R342">
        <v>99999</v>
      </c>
      <c r="S342" t="s">
        <v>40</v>
      </c>
      <c r="T342" t="s">
        <v>58</v>
      </c>
      <c r="U342" t="s">
        <v>46</v>
      </c>
      <c r="V342" t="s">
        <v>47</v>
      </c>
      <c r="W342" s="5">
        <v>14</v>
      </c>
      <c r="X342">
        <v>68</v>
      </c>
      <c r="Y342" s="6">
        <v>952</v>
      </c>
      <c r="Z342" s="5">
        <v>91.391999999999996</v>
      </c>
    </row>
    <row r="343" spans="1:26" hidden="1">
      <c r="A343">
        <v>1397</v>
      </c>
      <c r="B343" s="4">
        <v>41981</v>
      </c>
      <c r="C343">
        <v>8</v>
      </c>
      <c r="D343" t="s">
        <v>66</v>
      </c>
      <c r="E343" t="s">
        <v>67</v>
      </c>
      <c r="F343" t="s">
        <v>68</v>
      </c>
      <c r="G343" t="s">
        <v>69</v>
      </c>
      <c r="H343">
        <v>99999</v>
      </c>
      <c r="I343" t="s">
        <v>40</v>
      </c>
      <c r="J343" t="s">
        <v>70</v>
      </c>
      <c r="K343" t="s">
        <v>71</v>
      </c>
      <c r="L343" s="4">
        <v>41983</v>
      </c>
      <c r="M343" t="s">
        <v>43</v>
      </c>
      <c r="N343" t="s">
        <v>73</v>
      </c>
      <c r="O343" t="s">
        <v>67</v>
      </c>
      <c r="P343" t="s">
        <v>68</v>
      </c>
      <c r="Q343" t="s">
        <v>69</v>
      </c>
      <c r="R343">
        <v>99999</v>
      </c>
      <c r="S343" t="s">
        <v>40</v>
      </c>
      <c r="T343" t="s">
        <v>45</v>
      </c>
      <c r="U343" t="s">
        <v>98</v>
      </c>
      <c r="V343" t="s">
        <v>99</v>
      </c>
      <c r="W343" s="5">
        <v>40</v>
      </c>
      <c r="X343">
        <v>52</v>
      </c>
      <c r="Y343" s="6">
        <v>2080</v>
      </c>
      <c r="Z343" s="5">
        <v>203.84</v>
      </c>
    </row>
    <row r="344" spans="1:26">
      <c r="A344">
        <v>1398</v>
      </c>
      <c r="B344" s="4">
        <v>41981</v>
      </c>
      <c r="C344">
        <v>8</v>
      </c>
      <c r="D344" t="s">
        <v>66</v>
      </c>
      <c r="E344" t="s">
        <v>67</v>
      </c>
      <c r="F344" t="s">
        <v>68</v>
      </c>
      <c r="G344" t="s">
        <v>69</v>
      </c>
      <c r="H344">
        <v>99999</v>
      </c>
      <c r="I344" t="s">
        <v>40</v>
      </c>
      <c r="J344" t="s">
        <v>70</v>
      </c>
      <c r="K344" t="s">
        <v>71</v>
      </c>
      <c r="L344" s="4">
        <v>41983</v>
      </c>
      <c r="M344" t="s">
        <v>43</v>
      </c>
      <c r="N344" t="s">
        <v>73</v>
      </c>
      <c r="O344" t="s">
        <v>67</v>
      </c>
      <c r="P344" t="s">
        <v>68</v>
      </c>
      <c r="Q344" t="s">
        <v>69</v>
      </c>
      <c r="R344">
        <v>99999</v>
      </c>
      <c r="S344" t="s">
        <v>40</v>
      </c>
      <c r="T344" t="s">
        <v>45</v>
      </c>
      <c r="U344" t="s">
        <v>74</v>
      </c>
      <c r="V344" t="s">
        <v>75</v>
      </c>
      <c r="W344" s="5">
        <v>9.1999999999999993</v>
      </c>
      <c r="X344">
        <v>40</v>
      </c>
      <c r="Y344" s="6">
        <v>368</v>
      </c>
      <c r="Z344" s="5">
        <v>38.64</v>
      </c>
    </row>
    <row r="345" spans="1:26">
      <c r="A345">
        <v>1399</v>
      </c>
      <c r="B345" s="4">
        <v>41998</v>
      </c>
      <c r="C345">
        <v>25</v>
      </c>
      <c r="D345" t="s">
        <v>148</v>
      </c>
      <c r="E345" t="s">
        <v>149</v>
      </c>
      <c r="F345" t="s">
        <v>109</v>
      </c>
      <c r="G345" t="s">
        <v>110</v>
      </c>
      <c r="H345">
        <v>99999</v>
      </c>
      <c r="I345" t="s">
        <v>40</v>
      </c>
      <c r="J345" t="s">
        <v>111</v>
      </c>
      <c r="K345" t="s">
        <v>55</v>
      </c>
      <c r="L345" s="4">
        <v>42000</v>
      </c>
      <c r="M345" t="s">
        <v>56</v>
      </c>
      <c r="N345" t="s">
        <v>150</v>
      </c>
      <c r="O345" t="s">
        <v>149</v>
      </c>
      <c r="P345" t="s">
        <v>109</v>
      </c>
      <c r="Q345" t="s">
        <v>110</v>
      </c>
      <c r="R345">
        <v>99999</v>
      </c>
      <c r="S345" t="s">
        <v>40</v>
      </c>
      <c r="T345" t="s">
        <v>89</v>
      </c>
      <c r="U345" t="s">
        <v>157</v>
      </c>
      <c r="V345" t="s">
        <v>75</v>
      </c>
      <c r="W345" s="5">
        <v>10</v>
      </c>
      <c r="X345">
        <v>100</v>
      </c>
      <c r="Y345" s="6">
        <v>1000</v>
      </c>
      <c r="Z345" s="5">
        <v>98</v>
      </c>
    </row>
    <row r="346" spans="1:26" hidden="1">
      <c r="A346">
        <v>1400</v>
      </c>
      <c r="B346" s="4">
        <v>41999</v>
      </c>
      <c r="C346">
        <v>26</v>
      </c>
      <c r="D346" t="s">
        <v>151</v>
      </c>
      <c r="E346" t="s">
        <v>152</v>
      </c>
      <c r="F346" t="s">
        <v>125</v>
      </c>
      <c r="G346" t="s">
        <v>126</v>
      </c>
      <c r="H346">
        <v>99999</v>
      </c>
      <c r="I346" t="s">
        <v>40</v>
      </c>
      <c r="J346" t="s">
        <v>104</v>
      </c>
      <c r="K346" t="s">
        <v>105</v>
      </c>
      <c r="L346" s="4">
        <v>42001</v>
      </c>
      <c r="M346" t="s">
        <v>72</v>
      </c>
      <c r="N346" t="s">
        <v>153</v>
      </c>
      <c r="O346" t="s">
        <v>152</v>
      </c>
      <c r="P346" t="s">
        <v>125</v>
      </c>
      <c r="Q346" t="s">
        <v>126</v>
      </c>
      <c r="R346">
        <v>99999</v>
      </c>
      <c r="S346" t="s">
        <v>40</v>
      </c>
      <c r="T346" t="s">
        <v>58</v>
      </c>
      <c r="U346" t="s">
        <v>158</v>
      </c>
      <c r="V346" t="s">
        <v>159</v>
      </c>
      <c r="W346" s="5">
        <v>21.35</v>
      </c>
      <c r="X346">
        <v>88</v>
      </c>
      <c r="Y346" s="6">
        <v>1878.8</v>
      </c>
      <c r="Z346" s="5">
        <v>184.1224</v>
      </c>
    </row>
    <row r="347" spans="1:26" hidden="1">
      <c r="A347">
        <v>1401</v>
      </c>
      <c r="B347" s="4">
        <v>41999</v>
      </c>
      <c r="C347">
        <v>26</v>
      </c>
      <c r="D347" t="s">
        <v>151</v>
      </c>
      <c r="E347" t="s">
        <v>152</v>
      </c>
      <c r="F347" t="s">
        <v>125</v>
      </c>
      <c r="G347" t="s">
        <v>126</v>
      </c>
      <c r="H347">
        <v>99999</v>
      </c>
      <c r="I347" t="s">
        <v>40</v>
      </c>
      <c r="J347" t="s">
        <v>104</v>
      </c>
      <c r="K347" t="s">
        <v>105</v>
      </c>
      <c r="L347" s="4">
        <v>42001</v>
      </c>
      <c r="M347" t="s">
        <v>72</v>
      </c>
      <c r="N347" t="s">
        <v>153</v>
      </c>
      <c r="O347" t="s">
        <v>152</v>
      </c>
      <c r="P347" t="s">
        <v>125</v>
      </c>
      <c r="Q347" t="s">
        <v>126</v>
      </c>
      <c r="R347">
        <v>99999</v>
      </c>
      <c r="S347" t="s">
        <v>40</v>
      </c>
      <c r="T347" t="s">
        <v>58</v>
      </c>
      <c r="U347" t="s">
        <v>90</v>
      </c>
      <c r="V347" t="s">
        <v>91</v>
      </c>
      <c r="W347" s="5">
        <v>9.65</v>
      </c>
      <c r="X347">
        <v>46</v>
      </c>
      <c r="Y347" s="6">
        <v>443.9</v>
      </c>
      <c r="Z347" s="5">
        <v>42.614400000000003</v>
      </c>
    </row>
    <row r="348" spans="1:26" hidden="1">
      <c r="A348">
        <v>1402</v>
      </c>
      <c r="B348" s="4">
        <v>41999</v>
      </c>
      <c r="C348">
        <v>26</v>
      </c>
      <c r="D348" t="s">
        <v>151</v>
      </c>
      <c r="E348" t="s">
        <v>152</v>
      </c>
      <c r="F348" t="s">
        <v>125</v>
      </c>
      <c r="G348" t="s">
        <v>126</v>
      </c>
      <c r="H348">
        <v>99999</v>
      </c>
      <c r="I348" t="s">
        <v>40</v>
      </c>
      <c r="J348" t="s">
        <v>104</v>
      </c>
      <c r="K348" t="s">
        <v>105</v>
      </c>
      <c r="L348" s="4">
        <v>42001</v>
      </c>
      <c r="M348" t="s">
        <v>72</v>
      </c>
      <c r="N348" t="s">
        <v>153</v>
      </c>
      <c r="O348" t="s">
        <v>152</v>
      </c>
      <c r="P348" t="s">
        <v>125</v>
      </c>
      <c r="Q348" t="s">
        <v>126</v>
      </c>
      <c r="R348">
        <v>99999</v>
      </c>
      <c r="S348" t="s">
        <v>40</v>
      </c>
      <c r="T348" t="s">
        <v>58</v>
      </c>
      <c r="U348" t="s">
        <v>133</v>
      </c>
      <c r="V348" t="s">
        <v>134</v>
      </c>
      <c r="W348" s="5">
        <v>18.399999999999999</v>
      </c>
      <c r="X348">
        <v>93</v>
      </c>
      <c r="Y348" s="6">
        <v>1711.2</v>
      </c>
      <c r="Z348" s="5">
        <v>167.69759999999999</v>
      </c>
    </row>
    <row r="349" spans="1:26" hidden="1">
      <c r="A349">
        <v>1403</v>
      </c>
      <c r="B349" s="4">
        <v>42002</v>
      </c>
      <c r="C349">
        <v>29</v>
      </c>
      <c r="D349" t="s">
        <v>76</v>
      </c>
      <c r="E349" t="s">
        <v>77</v>
      </c>
      <c r="F349" t="s">
        <v>78</v>
      </c>
      <c r="G349" t="s">
        <v>79</v>
      </c>
      <c r="H349">
        <v>99999</v>
      </c>
      <c r="I349" t="s">
        <v>40</v>
      </c>
      <c r="J349" t="s">
        <v>80</v>
      </c>
      <c r="K349" t="s">
        <v>42</v>
      </c>
      <c r="L349" s="4">
        <v>42004</v>
      </c>
      <c r="M349" t="s">
        <v>43</v>
      </c>
      <c r="N349" t="s">
        <v>81</v>
      </c>
      <c r="O349" t="s">
        <v>77</v>
      </c>
      <c r="P349" t="s">
        <v>78</v>
      </c>
      <c r="Q349" t="s">
        <v>79</v>
      </c>
      <c r="R349">
        <v>99999</v>
      </c>
      <c r="S349" t="s">
        <v>40</v>
      </c>
      <c r="T349" t="s">
        <v>45</v>
      </c>
      <c r="U349" t="s">
        <v>46</v>
      </c>
      <c r="V349" t="s">
        <v>47</v>
      </c>
      <c r="W349" s="5">
        <v>14</v>
      </c>
      <c r="X349">
        <v>96</v>
      </c>
      <c r="Y349" s="6">
        <v>1344</v>
      </c>
      <c r="Z349" s="5">
        <v>141.12</v>
      </c>
    </row>
    <row r="350" spans="1:26" hidden="1">
      <c r="A350">
        <v>1404</v>
      </c>
      <c r="B350" s="4">
        <v>41979</v>
      </c>
      <c r="C350">
        <v>6</v>
      </c>
      <c r="D350" t="s">
        <v>92</v>
      </c>
      <c r="E350" t="s">
        <v>93</v>
      </c>
      <c r="F350" t="s">
        <v>94</v>
      </c>
      <c r="G350" t="s">
        <v>95</v>
      </c>
      <c r="H350">
        <v>99999</v>
      </c>
      <c r="I350" t="s">
        <v>40</v>
      </c>
      <c r="J350" t="s">
        <v>96</v>
      </c>
      <c r="K350" t="s">
        <v>71</v>
      </c>
      <c r="L350" s="4">
        <v>41981</v>
      </c>
      <c r="M350" t="s">
        <v>72</v>
      </c>
      <c r="N350" t="s">
        <v>97</v>
      </c>
      <c r="O350" t="s">
        <v>93</v>
      </c>
      <c r="P350" t="s">
        <v>94</v>
      </c>
      <c r="Q350" t="s">
        <v>95</v>
      </c>
      <c r="R350">
        <v>99999</v>
      </c>
      <c r="S350" t="s">
        <v>40</v>
      </c>
      <c r="T350" t="s">
        <v>45</v>
      </c>
      <c r="U350" t="s">
        <v>82</v>
      </c>
      <c r="V350" t="s">
        <v>83</v>
      </c>
      <c r="W350">
        <v>12.75</v>
      </c>
      <c r="X350">
        <v>12</v>
      </c>
      <c r="Y350" s="6">
        <v>153</v>
      </c>
      <c r="Z350" s="5">
        <v>16.065000000000001</v>
      </c>
    </row>
    <row r="351" spans="1:26" hidden="1">
      <c r="A351">
        <v>1406</v>
      </c>
      <c r="B351" s="4">
        <v>41977</v>
      </c>
      <c r="C351">
        <v>4</v>
      </c>
      <c r="D351" t="s">
        <v>50</v>
      </c>
      <c r="E351" t="s">
        <v>51</v>
      </c>
      <c r="F351" t="s">
        <v>52</v>
      </c>
      <c r="G351" t="s">
        <v>53</v>
      </c>
      <c r="H351">
        <v>99999</v>
      </c>
      <c r="I351" t="s">
        <v>40</v>
      </c>
      <c r="J351" t="s">
        <v>54</v>
      </c>
      <c r="K351" t="s">
        <v>55</v>
      </c>
      <c r="L351" s="4">
        <v>41979</v>
      </c>
      <c r="M351" t="s">
        <v>56</v>
      </c>
      <c r="N351" t="s">
        <v>57</v>
      </c>
      <c r="O351" t="s">
        <v>51</v>
      </c>
      <c r="P351" t="s">
        <v>52</v>
      </c>
      <c r="Q351" t="s">
        <v>53</v>
      </c>
      <c r="R351">
        <v>99999</v>
      </c>
      <c r="S351" t="s">
        <v>40</v>
      </c>
      <c r="T351" t="s">
        <v>58</v>
      </c>
      <c r="U351" t="s">
        <v>160</v>
      </c>
      <c r="V351" t="s">
        <v>120</v>
      </c>
      <c r="W351">
        <v>81</v>
      </c>
      <c r="X351">
        <v>38</v>
      </c>
      <c r="Y351" s="6">
        <v>3078</v>
      </c>
      <c r="Z351" s="5">
        <v>292.41000000000003</v>
      </c>
    </row>
    <row r="352" spans="1:26" hidden="1">
      <c r="A352">
        <v>1407</v>
      </c>
      <c r="B352" s="4">
        <v>41977</v>
      </c>
      <c r="C352">
        <v>4</v>
      </c>
      <c r="D352" t="s">
        <v>50</v>
      </c>
      <c r="E352" t="s">
        <v>51</v>
      </c>
      <c r="F352" t="s">
        <v>52</v>
      </c>
      <c r="G352" t="s">
        <v>53</v>
      </c>
      <c r="H352">
        <v>99999</v>
      </c>
      <c r="I352" t="s">
        <v>40</v>
      </c>
      <c r="J352" t="s">
        <v>54</v>
      </c>
      <c r="K352" t="s">
        <v>55</v>
      </c>
      <c r="L352" s="4">
        <v>41979</v>
      </c>
      <c r="M352" t="s">
        <v>56</v>
      </c>
      <c r="N352" t="s">
        <v>57</v>
      </c>
      <c r="O352" t="s">
        <v>51</v>
      </c>
      <c r="P352" t="s">
        <v>52</v>
      </c>
      <c r="Q352" t="s">
        <v>53</v>
      </c>
      <c r="R352">
        <v>99999</v>
      </c>
      <c r="S352" t="s">
        <v>40</v>
      </c>
      <c r="T352" t="s">
        <v>58</v>
      </c>
      <c r="U352" t="s">
        <v>161</v>
      </c>
      <c r="V352" t="s">
        <v>162</v>
      </c>
      <c r="W352">
        <v>7</v>
      </c>
      <c r="X352">
        <v>42</v>
      </c>
      <c r="Y352" s="6">
        <v>294</v>
      </c>
      <c r="Z352" s="5">
        <v>29.106000000000002</v>
      </c>
    </row>
    <row r="353" spans="1:26" hidden="1">
      <c r="A353">
        <v>1409</v>
      </c>
      <c r="B353" s="4">
        <v>41981</v>
      </c>
      <c r="C353">
        <v>8</v>
      </c>
      <c r="D353" t="s">
        <v>66</v>
      </c>
      <c r="E353" t="s">
        <v>67</v>
      </c>
      <c r="F353" t="s">
        <v>68</v>
      </c>
      <c r="G353" t="s">
        <v>69</v>
      </c>
      <c r="H353">
        <v>99999</v>
      </c>
      <c r="I353" t="s">
        <v>40</v>
      </c>
      <c r="J353" t="s">
        <v>70</v>
      </c>
      <c r="K353" t="s">
        <v>71</v>
      </c>
      <c r="L353" s="4">
        <v>41983</v>
      </c>
      <c r="M353" t="s">
        <v>72</v>
      </c>
      <c r="N353" t="s">
        <v>73</v>
      </c>
      <c r="O353" t="s">
        <v>67</v>
      </c>
      <c r="P353" t="s">
        <v>68</v>
      </c>
      <c r="Q353" t="s">
        <v>69</v>
      </c>
      <c r="R353">
        <v>99999</v>
      </c>
      <c r="S353" t="s">
        <v>40</v>
      </c>
      <c r="T353" t="s">
        <v>58</v>
      </c>
      <c r="U353" t="s">
        <v>143</v>
      </c>
      <c r="V353" t="s">
        <v>144</v>
      </c>
      <c r="W353">
        <v>34.799999999999997</v>
      </c>
      <c r="X353">
        <v>100</v>
      </c>
      <c r="Y353" s="6">
        <v>3480</v>
      </c>
      <c r="Z353" s="5">
        <v>344.52</v>
      </c>
    </row>
    <row r="354" spans="1:26" hidden="1">
      <c r="A354">
        <v>1412</v>
      </c>
      <c r="B354" s="4">
        <v>41976</v>
      </c>
      <c r="C354">
        <v>3</v>
      </c>
      <c r="D354" t="s">
        <v>84</v>
      </c>
      <c r="E354" t="s">
        <v>85</v>
      </c>
      <c r="F354" t="s">
        <v>86</v>
      </c>
      <c r="G354" t="s">
        <v>87</v>
      </c>
      <c r="H354">
        <v>99999</v>
      </c>
      <c r="I354" t="s">
        <v>40</v>
      </c>
      <c r="J354" t="s">
        <v>41</v>
      </c>
      <c r="K354" t="s">
        <v>42</v>
      </c>
      <c r="L354" s="4">
        <v>41978</v>
      </c>
      <c r="M354" t="s">
        <v>43</v>
      </c>
      <c r="N354" t="s">
        <v>88</v>
      </c>
      <c r="O354" t="s">
        <v>85</v>
      </c>
      <c r="P354" t="s">
        <v>86</v>
      </c>
      <c r="Q354" t="s">
        <v>87</v>
      </c>
      <c r="R354">
        <v>99999</v>
      </c>
      <c r="S354" t="s">
        <v>40</v>
      </c>
      <c r="T354" t="s">
        <v>89</v>
      </c>
      <c r="U354" t="s">
        <v>145</v>
      </c>
      <c r="V354" t="s">
        <v>122</v>
      </c>
      <c r="W354">
        <v>10</v>
      </c>
      <c r="X354">
        <v>89</v>
      </c>
      <c r="Y354" s="6">
        <v>890</v>
      </c>
      <c r="Z354" s="5">
        <v>87.22</v>
      </c>
    </row>
    <row r="355" spans="1:26" hidden="1">
      <c r="A355">
        <v>1413</v>
      </c>
      <c r="B355" s="4">
        <v>41976</v>
      </c>
      <c r="C355">
        <v>3</v>
      </c>
      <c r="D355" t="s">
        <v>84</v>
      </c>
      <c r="E355" t="s">
        <v>85</v>
      </c>
      <c r="F355" t="s">
        <v>86</v>
      </c>
      <c r="G355" t="s">
        <v>87</v>
      </c>
      <c r="H355">
        <v>99999</v>
      </c>
      <c r="I355" t="s">
        <v>40</v>
      </c>
      <c r="J355" t="s">
        <v>41</v>
      </c>
      <c r="K355" t="s">
        <v>42</v>
      </c>
      <c r="L355" s="4">
        <v>41978</v>
      </c>
      <c r="M355" t="s">
        <v>43</v>
      </c>
      <c r="N355" t="s">
        <v>88</v>
      </c>
      <c r="O355" t="s">
        <v>85</v>
      </c>
      <c r="P355" t="s">
        <v>86</v>
      </c>
      <c r="Q355" t="s">
        <v>87</v>
      </c>
      <c r="R355">
        <v>99999</v>
      </c>
      <c r="S355" t="s">
        <v>40</v>
      </c>
      <c r="T355" t="s">
        <v>89</v>
      </c>
      <c r="U355" t="s">
        <v>98</v>
      </c>
      <c r="V355" t="s">
        <v>99</v>
      </c>
      <c r="W355">
        <v>40</v>
      </c>
      <c r="X355">
        <v>12</v>
      </c>
      <c r="Y355" s="6">
        <v>480</v>
      </c>
      <c r="Z355" s="5">
        <v>46.56</v>
      </c>
    </row>
    <row r="356" spans="1:26" hidden="1">
      <c r="A356">
        <v>1417</v>
      </c>
      <c r="B356" s="4">
        <v>41983</v>
      </c>
      <c r="C356">
        <v>10</v>
      </c>
      <c r="D356" t="s">
        <v>107</v>
      </c>
      <c r="E356" t="s">
        <v>108</v>
      </c>
      <c r="F356" t="s">
        <v>109</v>
      </c>
      <c r="G356" t="s">
        <v>110</v>
      </c>
      <c r="H356">
        <v>99999</v>
      </c>
      <c r="I356" t="s">
        <v>40</v>
      </c>
      <c r="J356" t="s">
        <v>111</v>
      </c>
      <c r="K356" t="s">
        <v>55</v>
      </c>
      <c r="L356" s="4">
        <v>41985</v>
      </c>
      <c r="M356" t="s">
        <v>43</v>
      </c>
      <c r="N356" t="s">
        <v>112</v>
      </c>
      <c r="O356" t="s">
        <v>108</v>
      </c>
      <c r="P356" t="s">
        <v>109</v>
      </c>
      <c r="Q356" t="s">
        <v>110</v>
      </c>
      <c r="R356">
        <v>99999</v>
      </c>
      <c r="S356" t="s">
        <v>40</v>
      </c>
      <c r="T356" t="s">
        <v>58</v>
      </c>
      <c r="U356" t="s">
        <v>147</v>
      </c>
      <c r="V356" t="s">
        <v>49</v>
      </c>
      <c r="W356">
        <v>10</v>
      </c>
      <c r="X356">
        <v>97</v>
      </c>
      <c r="Y356" s="6">
        <v>970</v>
      </c>
      <c r="Z356" s="5">
        <v>100.88</v>
      </c>
    </row>
    <row r="357" spans="1:26" hidden="1">
      <c r="A357">
        <v>1419</v>
      </c>
      <c r="B357" s="4">
        <v>41983</v>
      </c>
      <c r="C357">
        <v>10</v>
      </c>
      <c r="D357" t="s">
        <v>107</v>
      </c>
      <c r="E357" t="s">
        <v>108</v>
      </c>
      <c r="F357" t="s">
        <v>109</v>
      </c>
      <c r="G357" t="s">
        <v>110</v>
      </c>
      <c r="H357">
        <v>99999</v>
      </c>
      <c r="I357" t="s">
        <v>40</v>
      </c>
      <c r="J357" t="s">
        <v>111</v>
      </c>
      <c r="K357" t="s">
        <v>55</v>
      </c>
      <c r="L357" s="4"/>
      <c r="M357" t="s">
        <v>56</v>
      </c>
      <c r="N357" t="s">
        <v>112</v>
      </c>
      <c r="O357" t="s">
        <v>108</v>
      </c>
      <c r="P357" t="s">
        <v>109</v>
      </c>
      <c r="Q357" t="s">
        <v>110</v>
      </c>
      <c r="R357">
        <v>99999</v>
      </c>
      <c r="S357" t="s">
        <v>40</v>
      </c>
      <c r="U357" t="s">
        <v>48</v>
      </c>
      <c r="V357" t="s">
        <v>49</v>
      </c>
      <c r="W357">
        <v>3.5</v>
      </c>
      <c r="X357">
        <v>53</v>
      </c>
      <c r="Y357" s="6">
        <v>185.5</v>
      </c>
      <c r="Z357" s="5">
        <v>17.622499999999999</v>
      </c>
    </row>
    <row r="358" spans="1:26" hidden="1">
      <c r="A358">
        <v>1420</v>
      </c>
      <c r="B358" s="4">
        <v>41984</v>
      </c>
      <c r="C358">
        <v>11</v>
      </c>
      <c r="D358" t="s">
        <v>123</v>
      </c>
      <c r="E358" t="s">
        <v>124</v>
      </c>
      <c r="F358" t="s">
        <v>125</v>
      </c>
      <c r="G358" t="s">
        <v>126</v>
      </c>
      <c r="H358">
        <v>99999</v>
      </c>
      <c r="I358" t="s">
        <v>40</v>
      </c>
      <c r="J358" t="s">
        <v>104</v>
      </c>
      <c r="K358" t="s">
        <v>105</v>
      </c>
      <c r="L358" s="4"/>
      <c r="M358" t="s">
        <v>72</v>
      </c>
      <c r="N358" t="s">
        <v>127</v>
      </c>
      <c r="O358" t="s">
        <v>124</v>
      </c>
      <c r="P358" t="s">
        <v>125</v>
      </c>
      <c r="Q358" t="s">
        <v>126</v>
      </c>
      <c r="R358">
        <v>99999</v>
      </c>
      <c r="S358" t="s">
        <v>40</v>
      </c>
      <c r="U358" t="s">
        <v>98</v>
      </c>
      <c r="V358" t="s">
        <v>99</v>
      </c>
      <c r="W358">
        <v>40</v>
      </c>
      <c r="X358">
        <v>61</v>
      </c>
      <c r="Y358" s="6">
        <v>2440</v>
      </c>
      <c r="Z358" s="5">
        <v>248.88</v>
      </c>
    </row>
    <row r="359" spans="1:26" hidden="1">
      <c r="A359">
        <v>1421</v>
      </c>
      <c r="B359" s="4">
        <v>41974</v>
      </c>
      <c r="C359">
        <v>1</v>
      </c>
      <c r="D359" t="s">
        <v>128</v>
      </c>
      <c r="E359" t="s">
        <v>129</v>
      </c>
      <c r="F359" t="s">
        <v>130</v>
      </c>
      <c r="G359" t="s">
        <v>131</v>
      </c>
      <c r="H359">
        <v>99999</v>
      </c>
      <c r="I359" t="s">
        <v>40</v>
      </c>
      <c r="J359" t="s">
        <v>70</v>
      </c>
      <c r="K359" t="s">
        <v>71</v>
      </c>
      <c r="L359" s="4"/>
      <c r="M359" t="s">
        <v>72</v>
      </c>
      <c r="N359" t="s">
        <v>132</v>
      </c>
      <c r="O359" t="s">
        <v>129</v>
      </c>
      <c r="P359" t="s">
        <v>130</v>
      </c>
      <c r="Q359" t="s">
        <v>131</v>
      </c>
      <c r="R359">
        <v>99999</v>
      </c>
      <c r="S359" t="s">
        <v>40</v>
      </c>
      <c r="U359" t="s">
        <v>133</v>
      </c>
      <c r="V359" t="s">
        <v>134</v>
      </c>
      <c r="W359">
        <v>18.399999999999999</v>
      </c>
      <c r="X359">
        <v>45</v>
      </c>
      <c r="Y359" s="6">
        <v>828</v>
      </c>
      <c r="Z359" s="5">
        <v>81.144000000000005</v>
      </c>
    </row>
    <row r="360" spans="1:26" hidden="1">
      <c r="A360">
        <v>1422</v>
      </c>
      <c r="B360" s="4">
        <v>42001</v>
      </c>
      <c r="C360">
        <v>28</v>
      </c>
      <c r="D360" t="s">
        <v>100</v>
      </c>
      <c r="E360" t="s">
        <v>101</v>
      </c>
      <c r="F360" t="s">
        <v>102</v>
      </c>
      <c r="G360" t="s">
        <v>103</v>
      </c>
      <c r="H360">
        <v>99999</v>
      </c>
      <c r="I360" t="s">
        <v>40</v>
      </c>
      <c r="J360" t="s">
        <v>104</v>
      </c>
      <c r="K360" t="s">
        <v>105</v>
      </c>
      <c r="L360" s="4">
        <v>42003</v>
      </c>
      <c r="M360" t="s">
        <v>72</v>
      </c>
      <c r="N360" t="s">
        <v>106</v>
      </c>
      <c r="O360" t="s">
        <v>101</v>
      </c>
      <c r="P360" t="s">
        <v>102</v>
      </c>
      <c r="Q360" t="s">
        <v>103</v>
      </c>
      <c r="R360">
        <v>99999</v>
      </c>
      <c r="S360" t="s">
        <v>40</v>
      </c>
      <c r="T360" t="s">
        <v>58</v>
      </c>
      <c r="U360" t="s">
        <v>65</v>
      </c>
      <c r="V360" t="s">
        <v>47</v>
      </c>
      <c r="W360">
        <v>46</v>
      </c>
      <c r="X360">
        <v>43</v>
      </c>
      <c r="Y360" s="6">
        <v>1978</v>
      </c>
      <c r="Z360" s="5">
        <v>197.8</v>
      </c>
    </row>
    <row r="361" spans="1:26" hidden="1">
      <c r="A361">
        <v>1423</v>
      </c>
      <c r="B361" s="4">
        <v>41982</v>
      </c>
      <c r="C361">
        <v>9</v>
      </c>
      <c r="D361" t="s">
        <v>135</v>
      </c>
      <c r="E361" t="s">
        <v>136</v>
      </c>
      <c r="F361" t="s">
        <v>137</v>
      </c>
      <c r="G361" t="s">
        <v>138</v>
      </c>
      <c r="H361">
        <v>99999</v>
      </c>
      <c r="I361" t="s">
        <v>40</v>
      </c>
      <c r="J361" t="s">
        <v>139</v>
      </c>
      <c r="K361" t="s">
        <v>42</v>
      </c>
      <c r="L361" s="4">
        <v>41984</v>
      </c>
      <c r="M361" t="s">
        <v>56</v>
      </c>
      <c r="N361" t="s">
        <v>140</v>
      </c>
      <c r="O361" t="s">
        <v>136</v>
      </c>
      <c r="P361" t="s">
        <v>137</v>
      </c>
      <c r="Q361" t="s">
        <v>138</v>
      </c>
      <c r="R361">
        <v>99999</v>
      </c>
      <c r="S361" t="s">
        <v>40</v>
      </c>
      <c r="T361" t="s">
        <v>45</v>
      </c>
      <c r="U361" t="s">
        <v>90</v>
      </c>
      <c r="V361" t="s">
        <v>91</v>
      </c>
      <c r="W361">
        <v>9.65</v>
      </c>
      <c r="X361">
        <v>18</v>
      </c>
      <c r="Y361" s="6">
        <v>173.7</v>
      </c>
      <c r="Z361" s="5">
        <v>16.5015</v>
      </c>
    </row>
    <row r="362" spans="1:26" hidden="1">
      <c r="A362">
        <v>1424</v>
      </c>
      <c r="B362" s="4">
        <v>41979</v>
      </c>
      <c r="C362">
        <v>6</v>
      </c>
      <c r="D362" t="s">
        <v>92</v>
      </c>
      <c r="E362" t="s">
        <v>93</v>
      </c>
      <c r="F362" t="s">
        <v>94</v>
      </c>
      <c r="G362" t="s">
        <v>95</v>
      </c>
      <c r="H362">
        <v>99999</v>
      </c>
      <c r="I362" t="s">
        <v>40</v>
      </c>
      <c r="J362" t="s">
        <v>96</v>
      </c>
      <c r="K362" t="s">
        <v>71</v>
      </c>
      <c r="L362" s="4">
        <v>41981</v>
      </c>
      <c r="M362" t="s">
        <v>43</v>
      </c>
      <c r="N362" t="s">
        <v>97</v>
      </c>
      <c r="O362" t="s">
        <v>93</v>
      </c>
      <c r="P362" t="s">
        <v>94</v>
      </c>
      <c r="Q362" t="s">
        <v>95</v>
      </c>
      <c r="R362">
        <v>99999</v>
      </c>
      <c r="S362" t="s">
        <v>40</v>
      </c>
      <c r="T362" t="s">
        <v>58</v>
      </c>
      <c r="U362" t="s">
        <v>82</v>
      </c>
      <c r="V362" t="s">
        <v>83</v>
      </c>
      <c r="W362">
        <v>12.75</v>
      </c>
      <c r="X362">
        <v>41</v>
      </c>
      <c r="Y362" s="6">
        <v>522.75</v>
      </c>
      <c r="Z362" s="5">
        <v>50.70675</v>
      </c>
    </row>
    <row r="363" spans="1:26" hidden="1">
      <c r="A363">
        <v>1425</v>
      </c>
      <c r="B363" s="4">
        <v>41981</v>
      </c>
      <c r="C363">
        <v>8</v>
      </c>
      <c r="D363" t="s">
        <v>66</v>
      </c>
      <c r="E363" t="s">
        <v>67</v>
      </c>
      <c r="F363" t="s">
        <v>68</v>
      </c>
      <c r="G363" t="s">
        <v>69</v>
      </c>
      <c r="H363">
        <v>99999</v>
      </c>
      <c r="I363" t="s">
        <v>40</v>
      </c>
      <c r="J363" t="s">
        <v>70</v>
      </c>
      <c r="K363" t="s">
        <v>71</v>
      </c>
      <c r="L363">
        <v>41983</v>
      </c>
      <c r="M363" t="s">
        <v>43</v>
      </c>
      <c r="N363" t="s">
        <v>73</v>
      </c>
      <c r="O363" t="s">
        <v>67</v>
      </c>
      <c r="P363" t="s">
        <v>68</v>
      </c>
      <c r="Q363" t="s">
        <v>69</v>
      </c>
      <c r="R363">
        <v>99999</v>
      </c>
      <c r="S363" t="s">
        <v>40</v>
      </c>
      <c r="T363" t="s">
        <v>45</v>
      </c>
      <c r="U363" t="s">
        <v>82</v>
      </c>
      <c r="V363" t="s">
        <v>83</v>
      </c>
      <c r="W363">
        <v>12.75</v>
      </c>
      <c r="X363">
        <v>19</v>
      </c>
      <c r="Y363" s="6">
        <v>242.25</v>
      </c>
      <c r="Z363" s="5">
        <v>23.982749999999999</v>
      </c>
    </row>
    <row r="364" spans="1:26" hidden="1">
      <c r="A364">
        <v>1426</v>
      </c>
      <c r="B364" s="4">
        <v>41998</v>
      </c>
      <c r="C364">
        <v>25</v>
      </c>
      <c r="D364" t="s">
        <v>148</v>
      </c>
      <c r="E364" t="s">
        <v>149</v>
      </c>
      <c r="F364" t="s">
        <v>109</v>
      </c>
      <c r="G364" t="s">
        <v>110</v>
      </c>
      <c r="H364">
        <v>99999</v>
      </c>
      <c r="I364" t="s">
        <v>40</v>
      </c>
      <c r="J364" t="s">
        <v>111</v>
      </c>
      <c r="K364" t="s">
        <v>55</v>
      </c>
      <c r="L364">
        <v>42000</v>
      </c>
      <c r="M364" t="s">
        <v>56</v>
      </c>
      <c r="N364" t="s">
        <v>150</v>
      </c>
      <c r="O364" t="s">
        <v>149</v>
      </c>
      <c r="P364" t="s">
        <v>109</v>
      </c>
      <c r="Q364" t="s">
        <v>110</v>
      </c>
      <c r="R364">
        <v>99999</v>
      </c>
      <c r="S364" t="s">
        <v>40</v>
      </c>
      <c r="T364" t="s">
        <v>89</v>
      </c>
      <c r="U364" t="s">
        <v>121</v>
      </c>
      <c r="V364" t="s">
        <v>122</v>
      </c>
      <c r="W364">
        <v>22</v>
      </c>
      <c r="X364">
        <v>65</v>
      </c>
      <c r="Y364" s="6">
        <v>1430</v>
      </c>
      <c r="Z364" s="5">
        <v>138.71</v>
      </c>
    </row>
    <row r="365" spans="1:26" hidden="1">
      <c r="A365">
        <v>1427</v>
      </c>
      <c r="B365" s="4">
        <v>41999</v>
      </c>
      <c r="C365">
        <v>26</v>
      </c>
      <c r="D365" t="s">
        <v>151</v>
      </c>
      <c r="E365" t="s">
        <v>152</v>
      </c>
      <c r="F365" t="s">
        <v>125</v>
      </c>
      <c r="G365" t="s">
        <v>126</v>
      </c>
      <c r="H365">
        <v>99999</v>
      </c>
      <c r="I365" t="s">
        <v>40</v>
      </c>
      <c r="J365" t="s">
        <v>104</v>
      </c>
      <c r="K365" t="s">
        <v>105</v>
      </c>
      <c r="L365">
        <v>42001</v>
      </c>
      <c r="M365" t="s">
        <v>72</v>
      </c>
      <c r="N365" t="s">
        <v>153</v>
      </c>
      <c r="O365" t="s">
        <v>152</v>
      </c>
      <c r="P365" t="s">
        <v>125</v>
      </c>
      <c r="Q365" t="s">
        <v>126</v>
      </c>
      <c r="R365">
        <v>99999</v>
      </c>
      <c r="S365" t="s">
        <v>40</v>
      </c>
      <c r="T365" t="s">
        <v>58</v>
      </c>
      <c r="U365" t="s">
        <v>119</v>
      </c>
      <c r="V365" t="s">
        <v>120</v>
      </c>
      <c r="W365">
        <v>25</v>
      </c>
      <c r="X365">
        <v>13</v>
      </c>
      <c r="Y365" s="6">
        <v>325</v>
      </c>
      <c r="Z365" s="5">
        <v>32.174999999999997</v>
      </c>
    </row>
    <row r="366" spans="1:26" hidden="1">
      <c r="A366">
        <v>1428</v>
      </c>
      <c r="B366" s="4">
        <v>42002</v>
      </c>
      <c r="C366">
        <v>29</v>
      </c>
      <c r="D366" t="s">
        <v>76</v>
      </c>
      <c r="E366" t="s">
        <v>77</v>
      </c>
      <c r="F366" t="s">
        <v>78</v>
      </c>
      <c r="G366" t="s">
        <v>79</v>
      </c>
      <c r="H366">
        <v>99999</v>
      </c>
      <c r="I366" t="s">
        <v>40</v>
      </c>
      <c r="J366" t="s">
        <v>80</v>
      </c>
      <c r="K366" t="s">
        <v>42</v>
      </c>
      <c r="L366">
        <v>42004</v>
      </c>
      <c r="M366" t="s">
        <v>43</v>
      </c>
      <c r="N366" t="s">
        <v>81</v>
      </c>
      <c r="O366" t="s">
        <v>77</v>
      </c>
      <c r="P366" t="s">
        <v>78</v>
      </c>
      <c r="Q366" t="s">
        <v>79</v>
      </c>
      <c r="R366">
        <v>99999</v>
      </c>
      <c r="S366" t="s">
        <v>40</v>
      </c>
      <c r="T366" t="s">
        <v>45</v>
      </c>
      <c r="U366" t="s">
        <v>154</v>
      </c>
      <c r="V366" t="s">
        <v>155</v>
      </c>
      <c r="W366">
        <v>39</v>
      </c>
      <c r="X366">
        <v>54</v>
      </c>
      <c r="Y366" s="6">
        <v>2106</v>
      </c>
      <c r="Z366" s="5">
        <v>214.81200000000001</v>
      </c>
    </row>
    <row r="367" spans="1:26" hidden="1">
      <c r="A367">
        <v>1429</v>
      </c>
      <c r="B367" s="4">
        <v>41979</v>
      </c>
      <c r="C367">
        <v>6</v>
      </c>
      <c r="D367" t="s">
        <v>92</v>
      </c>
      <c r="E367" t="s">
        <v>93</v>
      </c>
      <c r="F367" t="s">
        <v>94</v>
      </c>
      <c r="G367" t="s">
        <v>95</v>
      </c>
      <c r="H367">
        <v>99999</v>
      </c>
      <c r="I367" t="s">
        <v>40</v>
      </c>
      <c r="J367" t="s">
        <v>96</v>
      </c>
      <c r="K367" t="s">
        <v>71</v>
      </c>
      <c r="L367" s="4">
        <v>41981</v>
      </c>
      <c r="M367" t="s">
        <v>72</v>
      </c>
      <c r="N367" t="s">
        <v>97</v>
      </c>
      <c r="O367" t="s">
        <v>93</v>
      </c>
      <c r="P367" t="s">
        <v>94</v>
      </c>
      <c r="Q367" t="s">
        <v>95</v>
      </c>
      <c r="R367">
        <v>99999</v>
      </c>
      <c r="S367" t="s">
        <v>40</v>
      </c>
      <c r="T367" t="s">
        <v>45</v>
      </c>
      <c r="U367" t="s">
        <v>59</v>
      </c>
      <c r="V367" t="s">
        <v>49</v>
      </c>
      <c r="W367">
        <v>30</v>
      </c>
      <c r="X367">
        <v>33</v>
      </c>
      <c r="Y367" s="6">
        <v>990</v>
      </c>
      <c r="Z367" s="5">
        <v>95.04</v>
      </c>
    </row>
    <row r="368" spans="1:26" hidden="1">
      <c r="A368">
        <v>1430</v>
      </c>
      <c r="B368" s="4">
        <v>41979</v>
      </c>
      <c r="C368">
        <v>6</v>
      </c>
      <c r="D368" t="s">
        <v>92</v>
      </c>
      <c r="E368" t="s">
        <v>93</v>
      </c>
      <c r="F368" t="s">
        <v>94</v>
      </c>
      <c r="G368" t="s">
        <v>95</v>
      </c>
      <c r="H368">
        <v>99999</v>
      </c>
      <c r="I368" t="s">
        <v>40</v>
      </c>
      <c r="J368" t="s">
        <v>96</v>
      </c>
      <c r="K368" t="s">
        <v>71</v>
      </c>
      <c r="L368" s="4">
        <v>41981</v>
      </c>
      <c r="M368" t="s">
        <v>72</v>
      </c>
      <c r="N368" t="s">
        <v>97</v>
      </c>
      <c r="O368" t="s">
        <v>93</v>
      </c>
      <c r="P368" t="s">
        <v>94</v>
      </c>
      <c r="Q368" t="s">
        <v>95</v>
      </c>
      <c r="R368">
        <v>99999</v>
      </c>
      <c r="S368" t="s">
        <v>40</v>
      </c>
      <c r="T368" t="s">
        <v>45</v>
      </c>
      <c r="U368" t="s">
        <v>60</v>
      </c>
      <c r="V368" t="s">
        <v>49</v>
      </c>
      <c r="W368">
        <v>53</v>
      </c>
      <c r="X368">
        <v>34</v>
      </c>
      <c r="Y368" s="6">
        <v>1802</v>
      </c>
      <c r="Z368" s="5">
        <v>185.60599999999999</v>
      </c>
    </row>
    <row r="369" spans="1:26" hidden="1">
      <c r="A369">
        <v>1431</v>
      </c>
      <c r="B369" s="4">
        <v>41977</v>
      </c>
      <c r="C369">
        <v>4</v>
      </c>
      <c r="D369" t="s">
        <v>50</v>
      </c>
      <c r="E369" t="s">
        <v>51</v>
      </c>
      <c r="F369" t="s">
        <v>52</v>
      </c>
      <c r="G369" t="s">
        <v>53</v>
      </c>
      <c r="H369">
        <v>99999</v>
      </c>
      <c r="I369" t="s">
        <v>40</v>
      </c>
      <c r="J369" t="s">
        <v>54</v>
      </c>
      <c r="K369" t="s">
        <v>55</v>
      </c>
      <c r="L369" s="4"/>
      <c r="N369" t="s">
        <v>57</v>
      </c>
      <c r="O369" t="s">
        <v>51</v>
      </c>
      <c r="P369" t="s">
        <v>52</v>
      </c>
      <c r="Q369" t="s">
        <v>53</v>
      </c>
      <c r="R369">
        <v>99999</v>
      </c>
      <c r="S369" t="s">
        <v>40</v>
      </c>
      <c r="U369" t="s">
        <v>156</v>
      </c>
      <c r="V369" t="s">
        <v>142</v>
      </c>
      <c r="W369" s="5">
        <v>38</v>
      </c>
      <c r="X369">
        <v>59</v>
      </c>
      <c r="Y369" s="6">
        <v>2242</v>
      </c>
      <c r="Z369" s="5">
        <v>226.44200000000001</v>
      </c>
    </row>
    <row r="370" spans="1:26" hidden="1">
      <c r="A370">
        <v>1432</v>
      </c>
      <c r="B370" s="4">
        <v>41976</v>
      </c>
      <c r="C370">
        <v>3</v>
      </c>
      <c r="D370" t="s">
        <v>84</v>
      </c>
      <c r="E370" t="s">
        <v>85</v>
      </c>
      <c r="F370" t="s">
        <v>86</v>
      </c>
      <c r="G370" t="s">
        <v>87</v>
      </c>
      <c r="H370">
        <v>99999</v>
      </c>
      <c r="I370" t="s">
        <v>40</v>
      </c>
      <c r="J370" t="s">
        <v>41</v>
      </c>
      <c r="K370" t="s">
        <v>42</v>
      </c>
      <c r="L370" s="4"/>
      <c r="N370" t="s">
        <v>88</v>
      </c>
      <c r="O370" t="s">
        <v>85</v>
      </c>
      <c r="P370" t="s">
        <v>86</v>
      </c>
      <c r="Q370" t="s">
        <v>87</v>
      </c>
      <c r="R370">
        <v>99999</v>
      </c>
      <c r="S370" t="s">
        <v>40</v>
      </c>
      <c r="U370" t="s">
        <v>113</v>
      </c>
      <c r="V370" t="s">
        <v>47</v>
      </c>
      <c r="W370" s="5">
        <v>2.99</v>
      </c>
      <c r="X370">
        <v>24</v>
      </c>
      <c r="Y370" s="6">
        <v>71.760000000000005</v>
      </c>
      <c r="Z370" s="5">
        <v>7.1042399999999999</v>
      </c>
    </row>
  </sheetData>
  <autoFilter ref="A1:Z370" xr:uid="{00000000-0009-0000-0000-000001000000}">
    <filterColumn colId="21">
      <filters>
        <filter val="Baked Goods &amp; Mixes"/>
      </filters>
    </filterColumn>
  </autoFilter>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4CDA-4BFA-4E5B-A862-4BA80416AAFA}">
  <dimension ref="A1"/>
  <sheetViews>
    <sheetView showGridLines="0" workbookViewId="0">
      <selection activeCell="H30" sqref="H30"/>
    </sheetView>
  </sheetViews>
  <sheetFormatPr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75E1-5DF4-417B-8952-C829DE8C276B}">
  <dimension ref="A1"/>
  <sheetViews>
    <sheetView showGridLines="0" zoomScaleNormal="100" workbookViewId="0">
      <selection activeCell="T57" sqref="T57"/>
    </sheetView>
  </sheetViews>
  <sheetFormatPr defaultRowHeight="15"/>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ColWidth="9" defaultRowHeight="15"/>
  <sheetData>
    <row r="19" spans="2:3">
      <c r="B19" s="1" t="s">
        <v>163</v>
      </c>
      <c r="C19" t="s">
        <v>164</v>
      </c>
    </row>
    <row r="20" spans="2:3">
      <c r="B20" s="1" t="s">
        <v>165</v>
      </c>
      <c r="C20" s="2" t="s">
        <v>166</v>
      </c>
    </row>
  </sheetData>
  <hyperlinks>
    <hyperlink ref="C20" r:id="rId1" xr:uid="{00000000-0004-0000-02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B184B-FF2A-4738-A3FB-C6A6BE0EA63B}">
  <dimension ref="A1"/>
  <sheetViews>
    <sheetView showGridLines="0" tabSelected="1" topLeftCell="A12" zoomScale="85" zoomScaleNormal="85" workbookViewId="0">
      <selection activeCell="Y33" sqref="Y33"/>
    </sheetView>
  </sheetViews>
  <sheetFormatPr defaultRowHeight="1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977D-8A9D-44E9-8018-12F5CDD3351A}">
  <dimension ref="A1"/>
  <sheetViews>
    <sheetView showGridLines="0" topLeftCell="A26123" zoomScale="80" zoomScaleNormal="80" workbookViewId="0">
      <selection activeCell="L54350" sqref="L54350"/>
    </sheetView>
  </sheetViews>
  <sheetFormatPr defaultRowHeight="1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8CE4-F943-444D-AFF8-BA970551019F}">
  <dimension ref="A1"/>
  <sheetViews>
    <sheetView showGridLines="0" topLeftCell="A2669" zoomScale="85" zoomScaleNormal="85" workbookViewId="0">
      <selection activeCell="K2687" sqref="K2687"/>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Task</vt:lpstr>
      <vt:lpstr>Top 10 Customers</vt:lpstr>
      <vt:lpstr>Salesperson performance</vt:lpstr>
      <vt:lpstr>Regional performance</vt:lpstr>
      <vt:lpstr>Sales By Product Category</vt:lpstr>
      <vt:lpstr>Sales Trend Report</vt:lpstr>
      <vt:lpstr>Transaction By Amount</vt:lpstr>
      <vt:lpstr>Performance by States</vt:lpstr>
      <vt:lpstr>Top Cities by Revenue</vt:lpstr>
      <vt:lpstr>Top 6 Ship Cities by Revenue </vt:lpstr>
      <vt:lpstr>Data (3)</vt:lpstr>
      <vt:lpstr>Pre-Analysis Board</vt:lpstr>
      <vt:lpstr>In-Analysis Board</vt:lpstr>
      <vt:lpstr>Pivot Table Diagram</vt:lpstr>
      <vt:lpstr>Dashboard</vt:lpstr>
      <vt:lpstr>Post-Analysis Observations</vt:lpstr>
      <vt:lpstr>Post-Analysis Recommendations</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johnatakhiru@hotmail.com</cp:lastModifiedBy>
  <cp:lastPrinted>2025-08-03T12:11:08Z</cp:lastPrinted>
  <dcterms:created xsi:type="dcterms:W3CDTF">2015-01-21T18:43:00Z</dcterms:created>
  <dcterms:modified xsi:type="dcterms:W3CDTF">2025-08-12T16:31:45Z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F8988C4D0D804FD787E5E1EB5D565D73_13</vt:lpwstr>
  </property>
  <property fmtid="{D5CDD505-2E9C-101B-9397-08002B2CF9AE}" pid="3" name="KSOProductBuildVer">
    <vt:lpwstr>1033-12.2.0.21931</vt:lpwstr>
  </property>
</Properties>
</file>